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arameters" sheetId="2" state="visible" r:id="rId4"/>
    <sheet name="Nodes" sheetId="3" state="visible" r:id="rId5"/>
    <sheet name="Edges" sheetId="4" state="visible" r:id="rId6"/>
    <sheet name="Measured Segments" sheetId="5" state="visible" r:id="rId7"/>
    <sheet name="Route Check" sheetId="6" state="visible" r:id="rId8"/>
    <sheet name="Hazard Locations" sheetId="7" state="visible" r:id="rId9"/>
    <sheet name="Test Scenarios" sheetId="8" state="visible" r:id="rId10"/>
    <sheet name="Algorithm Comparison" sheetId="9" state="visible" r:id="rId11"/>
    <sheet name="Random Accident Run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<sst xmlns="http://schemas.openxmlformats.org/spreadsheetml/2006/main" count="904" uniqueCount="370">
  <si>
    <t xml:space="preserve">Makassar Hazard-Aware Route Finder: Dataset (versi 4)</t>
  </si>
  <si>
    <t xml:space="preserve">Graf 26 simpul (22 persimpangan + 4 lokasi: UC Makassar, Mal Ratu Indah, TSM, Mall Panakkukang) dan 33 ruas jalan dua arah.</t>
  </si>
  <si>
    <t xml:space="preserve">Sheets</t>
  </si>
  <si>
    <t xml:space="preserve">Parameters: bobot gamma untuk penalti keamanan. Rumus biaya ruas = distance_km + gamma x safety_penalty. Ruas dengan blocked = 1 dianggap tidak dapat dilalui (INF).</t>
  </si>
  <si>
    <t xml:space="preserve">Nodes: id, nama, tipe, posisi x_km / y_km relatif terhadap N1 (dipakai untuk heuristik jarak garis lurus A*).</t>
  </si>
  <si>
    <t xml:space="preserve">Edges: satu baris per ruas jalan. Cost, straight_line_km, dan heuristic_ok adalah rumus.</t>
  </si>
  <si>
    <t xml:space="preserve">Measured Segments: daftar langkah Google Maps yang menjadi sumber jarak.</t>
  </si>
  <si>
    <t xml:space="preserve">Route Check: membandingkan jumlah jarak ruas dengan total rute Google Maps.</t>
  </si>
  <si>
    <t xml:space="preserve">Hazard Locations, Test Scenarios, Algorithm Comparison, Random Accident Runs: data gangguan dari tim dan hasil uji pada graf ini.</t>
  </si>
  <si>
    <t xml:space="preserve">Legend</t>
  </si>
  <si>
    <t xml:space="preserve">Teks biru = input yang boleh diubah. Teks hitam = rumus atau hasil hitungan.</t>
  </si>
  <si>
    <t xml:space="preserve">Perubahan dari versi 3</t>
  </si>
  <si>
    <t xml:space="preserve">1. Kemacetan (congestion) dihapus dari dataset dan rumus biaya, sesuai keputusan tim.</t>
  </si>
  <si>
    <t xml:space="preserve">2. Seluruh jarak ruas sudah diverifikasi tim langsung di Google Maps, sehingga data_status semua ruas menjadi "verified (Google Maps)".</t>
  </si>
  <si>
    <t xml:space="preserve">3. Titik awal hanya UC dan Mall Panakkukang. Mal Ratu Indah dan TSM hanya menjadi tujuan. Skenario 4 diubah dari Mari -&gt; MP menjadi MP -&gt; Mari.</t>
  </si>
  <si>
    <t xml:space="preserve">4. Semua skenario dihitung ulang dengan rumus biaya baru, ditambah sheet Algorithm Comparison (BFS, UCS, A*).</t>
  </si>
  <si>
    <t xml:space="preserve">Catatan</t>
  </si>
  <si>
    <t xml:space="preserve">A. Posisi x_km / y_km ditaruh manual dari tata letak peta. Posisi ini hanya dipakai heuristik A*, dan sudah dicek bahwa jarak garis lurus tidak pernah melebihi jarak jalan (semua ruas OK).</t>
  </si>
  <si>
    <t xml:space="preserve">B. Keluar dari Mal Ratu Indah ke arah utara dengan mobil butuh putar balik sekitar +0.5 km. Ini belum masuk ke jarak ruas, hanya dicatat di Route Check (detour_km).</t>
  </si>
  <si>
    <t xml:space="preserve">C. Semua ruas dianggap dua arah.</t>
  </si>
  <si>
    <t xml:space="preserve">D. Google Maps memilih rute tercepat, bukan terpendek, sehingga rute terpendek di graf bisa berbeda dari rute Google.</t>
  </si>
  <si>
    <t xml:space="preserve">E. Lokasi gangguan berasal dari pengalaman anggota tim (Rasya). Kecelakaan bersifat acak sehingga tidak punya lokasi tetap.</t>
  </si>
  <si>
    <t xml:space="preserve">Parameter</t>
  </si>
  <si>
    <t xml:space="preserve">Value</t>
  </si>
  <si>
    <t xml:space="preserve">Meaning</t>
  </si>
  <si>
    <t xml:space="preserve">gamma (safety weight)</t>
  </si>
  <si>
    <t xml:space="preserve">Biaya tambahan per level penalti keamanan (0 tidak ada, 1 ringan, 2 berat)</t>
  </si>
  <si>
    <t xml:space="preserve">blocked</t>
  </si>
  <si>
    <t xml:space="preserve">Nilai blocked = 1 berarti ruas ditutup dan dihapus dari graf (INF)</t>
  </si>
  <si>
    <t xml:space="preserve">Asumsi tim, bukan dari sumber. Nilai gamma bisa disesuaikan saat pengujian.</t>
  </si>
  <si>
    <t xml:space="preserve">node_id</t>
  </si>
  <si>
    <t xml:space="preserve">name</t>
  </si>
  <si>
    <t xml:space="preserve">type</t>
  </si>
  <si>
    <t xml:space="preserve">x_km (east)</t>
  </si>
  <si>
    <t xml:space="preserve">y_km (north)</t>
  </si>
  <si>
    <t xml:space="preserve">role</t>
  </si>
  <si>
    <t xml:space="preserve">UC</t>
  </si>
  <si>
    <t xml:space="preserve">UC Makassar (Ciputra School of Business)</t>
  </si>
  <si>
    <t xml:space="preserve">start/goal</t>
  </si>
  <si>
    <t xml:space="preserve">start + goal</t>
  </si>
  <si>
    <t xml:space="preserve">N1</t>
  </si>
  <si>
    <t xml:space="preserve">Centre Point of Indonesia roundabout (start of Jl. H. Bau / Jl. Metro Tj. Bunga)</t>
  </si>
  <si>
    <t xml:space="preserve">intersection</t>
  </si>
  <si>
    <t xml:space="preserve">N2</t>
  </si>
  <si>
    <t xml:space="preserve">Jl. Maipa / Losari corner</t>
  </si>
  <si>
    <t xml:space="preserve">N3</t>
  </si>
  <si>
    <t xml:space="preserve">Jl. Botedampingan</t>
  </si>
  <si>
    <t xml:space="preserve">N4</t>
  </si>
  <si>
    <t xml:space="preserve">Jl. Sungai Saddang Lama (start)</t>
  </si>
  <si>
    <t xml:space="preserve">N5</t>
  </si>
  <si>
    <t xml:space="preserve">Jl. Sungai Saddang Baru</t>
  </si>
  <si>
    <t xml:space="preserve">N6</t>
  </si>
  <si>
    <t xml:space="preserve">Jl. Pelita Raya junction</t>
  </si>
  <si>
    <t xml:space="preserve">N7</t>
  </si>
  <si>
    <t xml:space="preserve">Pakui Sayang Park (Jl. AP Pettarani)</t>
  </si>
  <si>
    <t xml:space="preserve">N8</t>
  </si>
  <si>
    <t xml:space="preserve">Jl. AP Pettarani / RSI Faisal / Jl. Adiyaksa junction</t>
  </si>
  <si>
    <t xml:space="preserve">MP</t>
  </si>
  <si>
    <t xml:space="preserve">Mall Panakkukang</t>
  </si>
  <si>
    <t xml:space="preserve">N9</t>
  </si>
  <si>
    <t xml:space="preserve">Jl. H. Bau / Jl. Opu Daeng Risadju junction</t>
  </si>
  <si>
    <t xml:space="preserve">N10</t>
  </si>
  <si>
    <t xml:space="preserve">Jl. Kasuari / Jl. Opu Daeng Risadju (Jl. Garuda) corner</t>
  </si>
  <si>
    <t xml:space="preserve">N11</t>
  </si>
  <si>
    <t xml:space="preserve">Jl. Kasuari / Jl. DR. Ratulangi</t>
  </si>
  <si>
    <t xml:space="preserve">Mari</t>
  </si>
  <si>
    <t xml:space="preserve">Mal Ratu Indah (Mall Mari)</t>
  </si>
  <si>
    <t xml:space="preserve">goal only</t>
  </si>
  <si>
    <t xml:space="preserve">N12</t>
  </si>
  <si>
    <t xml:space="preserve">Jl. Metro Tj. Bunga (north, near Siloam)</t>
  </si>
  <si>
    <t xml:space="preserve">N13</t>
  </si>
  <si>
    <t xml:space="preserve">Jl. Metro Tj. Bunga (south bend before TSM)</t>
  </si>
  <si>
    <t xml:space="preserve">N14</t>
  </si>
  <si>
    <t xml:space="preserve">Jl. Metro Tj. Bunga / Jl. Ampera Raya junction</t>
  </si>
  <si>
    <t xml:space="preserve">TSM</t>
  </si>
  <si>
    <t xml:space="preserve">Trans Studio Mall Makassar (TSM)</t>
  </si>
  <si>
    <t xml:space="preserve">N15</t>
  </si>
  <si>
    <t xml:space="preserve">Jl. Ampera Raya / Jl. Garuda junction</t>
  </si>
  <si>
    <t xml:space="preserve">N16</t>
  </si>
  <si>
    <t xml:space="preserve">Jl. Kasuari / Jl. Sungai Saddang Baru junction</t>
  </si>
  <si>
    <t xml:space="preserve">N17</t>
  </si>
  <si>
    <t xml:space="preserve">Jl. AP Pettarani (north of RSI Faisal) / Saddang diagonal</t>
  </si>
  <si>
    <t xml:space="preserve">N18</t>
  </si>
  <si>
    <t xml:space="preserve">Jl. Andi Mangerangi / Jl. Kumala junction</t>
  </si>
  <si>
    <t xml:space="preserve">N19</t>
  </si>
  <si>
    <t xml:space="preserve">Jl. Sultan Alauddin / Jl. RSI Faisal bend</t>
  </si>
  <si>
    <t xml:space="preserve">N20</t>
  </si>
  <si>
    <t xml:space="preserve">Jl. DR. Ratulangi / Jl. Sultan Alauddin</t>
  </si>
  <si>
    <t xml:space="preserve">N21</t>
  </si>
  <si>
    <t xml:space="preserve">Jl. Onta Baru / Jl. Anuang junction</t>
  </si>
  <si>
    <t xml:space="preserve">N22</t>
  </si>
  <si>
    <t xml:space="preserve">Jl. DR. Ratulangi / Jl. H. Bau junction</t>
  </si>
  <si>
    <t xml:space="preserve">edge_id</t>
  </si>
  <si>
    <t xml:space="preserve">from</t>
  </si>
  <si>
    <t xml:space="preserve">to</t>
  </si>
  <si>
    <t xml:space="preserve">road_name</t>
  </si>
  <si>
    <t xml:space="preserve">distance_km</t>
  </si>
  <si>
    <t xml:space="preserve">hazard_type</t>
  </si>
  <si>
    <t xml:space="preserve">safety_penalty (0-2)</t>
  </si>
  <si>
    <t xml:space="preserve">blocked (0/1)</t>
  </si>
  <si>
    <t xml:space="preserve">cost</t>
  </si>
  <si>
    <t xml:space="preserve">straight_line_km</t>
  </si>
  <si>
    <t xml:space="preserve">heuristic_ok</t>
  </si>
  <si>
    <t xml:space="preserve">data_status</t>
  </si>
  <si>
    <t xml:space="preserve">used_in_routes</t>
  </si>
  <si>
    <t xml:space="preserve">direction</t>
  </si>
  <si>
    <t xml:space="preserve">notes</t>
  </si>
  <si>
    <t xml:space="preserve">E01</t>
  </si>
  <si>
    <t xml:space="preserve">Jl. Metro Tj. Bunga (CPI access road)</t>
  </si>
  <si>
    <t xml:space="preserve">None</t>
  </si>
  <si>
    <t xml:space="preserve">verified (Google Maps)</t>
  </si>
  <si>
    <t xml:space="preserve">UC-&gt;all routes</t>
  </si>
  <si>
    <t xml:space="preserve">two-way</t>
  </si>
  <si>
    <t xml:space="preserve">E02</t>
  </si>
  <si>
    <t xml:space="preserve">Losari / Jl. Maipa</t>
  </si>
  <si>
    <t xml:space="preserve">UC-&gt;Mari (car), UC-&gt;MP</t>
  </si>
  <si>
    <t xml:space="preserve">E03</t>
  </si>
  <si>
    <t xml:space="preserve">UC-&gt;MP</t>
  </si>
  <si>
    <t xml:space="preserve">E04</t>
  </si>
  <si>
    <t xml:space="preserve">Jl. Botedampingan to Jl. Sungai Saddang</t>
  </si>
  <si>
    <t xml:space="preserve">E05</t>
  </si>
  <si>
    <t xml:space="preserve">Jl. Sungai Saddang Lama to Baru</t>
  </si>
  <si>
    <t xml:space="preserve">E06</t>
  </si>
  <si>
    <t xml:space="preserve">Jl. Sungai Saddang Baru / Jl. Pelita Raya</t>
  </si>
  <si>
    <t xml:space="preserve">E07</t>
  </si>
  <si>
    <t xml:space="preserve">Jl. Pelita Raya to Jl. AP Pettarani</t>
  </si>
  <si>
    <t xml:space="preserve">E08</t>
  </si>
  <si>
    <t xml:space="preserve">Jl. AP Pettarani</t>
  </si>
  <si>
    <t xml:space="preserve">E09</t>
  </si>
  <si>
    <t xml:space="preserve">Jl. AP Pettarani / Jl. RSI Faisal</t>
  </si>
  <si>
    <t xml:space="preserve">E10</t>
  </si>
  <si>
    <t xml:space="preserve">Jl. Adiyaksa</t>
  </si>
  <si>
    <t xml:space="preserve">UC-&gt;MP, Mari-&gt;MP</t>
  </si>
  <si>
    <t xml:space="preserve">E11</t>
  </si>
  <si>
    <t xml:space="preserve">Jl. Maipa to Jl. H. Bau</t>
  </si>
  <si>
    <t xml:space="preserve">UC-&gt;Mari (car)</t>
  </si>
  <si>
    <t xml:space="preserve">E12</t>
  </si>
  <si>
    <t xml:space="preserve">Jl. H. Bau</t>
  </si>
  <si>
    <t xml:space="preserve">UC-&gt;Mari, Mari-&gt;UC</t>
  </si>
  <si>
    <t xml:space="preserve">E13</t>
  </si>
  <si>
    <t xml:space="preserve">Jl. Opu Daeng Risadju</t>
  </si>
  <si>
    <t xml:space="preserve">E14</t>
  </si>
  <si>
    <t xml:space="preserve">Jl. Kasuari</t>
  </si>
  <si>
    <t xml:space="preserve">UC-&gt;Mari, Mari-&gt;UC, TSM-&gt;Mari</t>
  </si>
  <si>
    <t xml:space="preserve">E15</t>
  </si>
  <si>
    <t xml:space="preserve">Jl. DR. Ratulangi</t>
  </si>
  <si>
    <t xml:space="preserve">Leaving Mari northward by car needs a U-turn 250 m south (+0.5 km). See Route Check detour_km.</t>
  </si>
  <si>
    <t xml:space="preserve">E16</t>
  </si>
  <si>
    <t xml:space="preserve">Jl. Metro Tj. Bunga</t>
  </si>
  <si>
    <t xml:space="preserve">UC-&gt;TSM, Mari-&gt;TSM</t>
  </si>
  <si>
    <t xml:space="preserve">E17</t>
  </si>
  <si>
    <t xml:space="preserve">E18</t>
  </si>
  <si>
    <t xml:space="preserve">UC-&gt;TSM, TSM-&gt;Mari, Mari-&gt;TSM</t>
  </si>
  <si>
    <t xml:space="preserve">E19</t>
  </si>
  <si>
    <t xml:space="preserve">E20</t>
  </si>
  <si>
    <t xml:space="preserve">Jl. Ampera Raya</t>
  </si>
  <si>
    <t xml:space="preserve">TSM-&gt;Mari, TSM-&gt;MP</t>
  </si>
  <si>
    <t xml:space="preserve">E21</t>
  </si>
  <si>
    <t xml:space="preserve">Jl. Garuda</t>
  </si>
  <si>
    <t xml:space="preserve">E22</t>
  </si>
  <si>
    <t xml:space="preserve">Jl. Kasuari (eastward)</t>
  </si>
  <si>
    <t xml:space="preserve">TSM-&gt;MP</t>
  </si>
  <si>
    <t xml:space="preserve">E23</t>
  </si>
  <si>
    <t xml:space="preserve">Jl. Sungai Saddang Baru (diagonal)</t>
  </si>
  <si>
    <t xml:space="preserve">E24</t>
  </si>
  <si>
    <t xml:space="preserve">Jl. AP Pettarani north, then Jl. Adiyaksa</t>
  </si>
  <si>
    <t xml:space="preserve">TSM-&gt;MP, Mari-&gt;MP (bike)</t>
  </si>
  <si>
    <t xml:space="preserve">E25</t>
  </si>
  <si>
    <t xml:space="preserve">Southern route (Jl. Andi Mangerangi / Jl. Kumala)</t>
  </si>
  <si>
    <t xml:space="preserve">TSM-&gt;MP (car)</t>
  </si>
  <si>
    <t xml:space="preserve">E26</t>
  </si>
  <si>
    <t xml:space="preserve">Jl. Kumala to Jl. Sultan Alauddin</t>
  </si>
  <si>
    <t xml:space="preserve">E27</t>
  </si>
  <si>
    <t xml:space="preserve">Jl. RSI Faisal</t>
  </si>
  <si>
    <t xml:space="preserve">TSM-&gt;MP, Mari-&gt;MP</t>
  </si>
  <si>
    <t xml:space="preserve">E28</t>
  </si>
  <si>
    <t xml:space="preserve">Jl. DR. Ratulangi (south)</t>
  </si>
  <si>
    <t xml:space="preserve">Mari-&gt;MP</t>
  </si>
  <si>
    <t xml:space="preserve">E29</t>
  </si>
  <si>
    <t xml:space="preserve">Jl. Sultan Alauddin</t>
  </si>
  <si>
    <t xml:space="preserve">E30</t>
  </si>
  <si>
    <t xml:space="preserve">Jl. Onta Baru</t>
  </si>
  <si>
    <t xml:space="preserve">Mari-&gt;MP (bike)</t>
  </si>
  <si>
    <t xml:space="preserve">E31</t>
  </si>
  <si>
    <t xml:space="preserve">Diagonal past Sport Science toward Jl. AP Pettarani</t>
  </si>
  <si>
    <t xml:space="preserve">E32</t>
  </si>
  <si>
    <t xml:space="preserve">Mari-&gt;TSM (via Ratulangi)</t>
  </si>
  <si>
    <t xml:space="preserve">E33</t>
  </si>
  <si>
    <t xml:space="preserve">Jl. DR. Ratulangi (north)</t>
  </si>
  <si>
    <t xml:space="preserve">screenshot</t>
  </si>
  <si>
    <t xml:space="preserve">route</t>
  </si>
  <si>
    <t xml:space="preserve">step</t>
  </si>
  <si>
    <t xml:space="preserve">meters</t>
  </si>
  <si>
    <t xml:space="preserve">used for</t>
  </si>
  <si>
    <t xml:space="preserve">Image 4</t>
  </si>
  <si>
    <t xml:space="preserve">UC -&gt; TSM (car, 4.4 km)</t>
  </si>
  <si>
    <t xml:space="preserve">Leave parking</t>
  </si>
  <si>
    <t xml:space="preserve">E01 UC-N1</t>
  </si>
  <si>
    <t xml:space="preserve">UC -&gt; TSM</t>
  </si>
  <si>
    <t xml:space="preserve">Turn right</t>
  </si>
  <si>
    <t xml:space="preserve">Turn left</t>
  </si>
  <si>
    <t xml:space="preserve">Roundabout, exit 4</t>
  </si>
  <si>
    <t xml:space="preserve">Roundabout, exit 3 (reaches CPI roundabout)</t>
  </si>
  <si>
    <t xml:space="preserve">E01 (sum 1.4 km)</t>
  </si>
  <si>
    <t xml:space="preserve">Roundabout exit 3, then merge</t>
  </si>
  <si>
    <t xml:space="preserve">E16 N1-N12</t>
  </si>
  <si>
    <t xml:space="preserve">Merge onto Jl. Metro Tj. Bunga</t>
  </si>
  <si>
    <t xml:space="preserve">E17, E18 (N12-N14-N13, 2.5 km with the 270 m)</t>
  </si>
  <si>
    <t xml:space="preserve">Turn right, destination on the right</t>
  </si>
  <si>
    <t xml:space="preserve">E19 N13-TSM</t>
  </si>
  <si>
    <t xml:space="preserve">Image 5</t>
  </si>
  <si>
    <t xml:space="preserve">Mari -&gt; TSM (car, 4.9 km)</t>
  </si>
  <si>
    <t xml:space="preserve">Head toward Jl. Mawas Raya</t>
  </si>
  <si>
    <t xml:space="preserve">U-turn detour (half)</t>
  </si>
  <si>
    <t xml:space="preserve">Mari -&gt; TSM</t>
  </si>
  <si>
    <t xml:space="preserve">U-turn at SD Kartika XXI</t>
  </si>
  <si>
    <t xml:space="preserve">E15 + E33 (850 - 250 = 600 m from Mari to Jl. H. Bau)</t>
  </si>
  <si>
    <t xml:space="preserve">Left onto Jl. H. Bau</t>
  </si>
  <si>
    <t xml:space="preserve">E32 + E12 (N22-N9-N1, about 0.9 km)</t>
  </si>
  <si>
    <t xml:space="preserve">Slight right toward Jl. Metro Tj. Bunga</t>
  </si>
  <si>
    <t xml:space="preserve">Stay on Jl. Metro Tj. Bunga</t>
  </si>
  <si>
    <t xml:space="preserve">E17, E18</t>
  </si>
  <si>
    <t xml:space="preserve">Images 6-7</t>
  </si>
  <si>
    <t xml:space="preserve">Mari -&gt; UC (car, 3.5 km)</t>
  </si>
  <si>
    <t xml:space="preserve">Mari -&gt; UC</t>
  </si>
  <si>
    <t xml:space="preserve">E15 (450 - 250 = 200 m to the Kasuari corner)</t>
  </si>
  <si>
    <t xml:space="preserve">Left after Subur Cell (Jl. Kasuari)</t>
  </si>
  <si>
    <t xml:space="preserve">E14 N10-N11</t>
  </si>
  <si>
    <t xml:space="preserve">Right onto Jl. Opu Daeng Risadju</t>
  </si>
  <si>
    <t xml:space="preserve">E13 N9-N10</t>
  </si>
  <si>
    <t xml:space="preserve">E12 N1-N9 (with the 250 m below = 0.6 km)</t>
  </si>
  <si>
    <t xml:space="preserve">E12 N1-N9</t>
  </si>
  <si>
    <t xml:space="preserve">Roundabouts (180 + 600 + 600 + 110 m)</t>
  </si>
  <si>
    <t xml:space="preserve">E01 UC-N1 (about 1.4 km)</t>
  </si>
  <si>
    <t xml:space="preserve">Source: the Google Maps directions panels in your screenshots 4 to 7. These are the only distances treated as measured.</t>
  </si>
  <si>
    <t xml:space="preserve">google_km</t>
  </si>
  <si>
    <t xml:space="preserve">node_path</t>
  </si>
  <si>
    <t xml:space="preserve">edge_1</t>
  </si>
  <si>
    <t xml:space="preserve">edge_2</t>
  </si>
  <si>
    <t xml:space="preserve">edge_3</t>
  </si>
  <si>
    <t xml:space="preserve">edge_4</t>
  </si>
  <si>
    <t xml:space="preserve">edge_5</t>
  </si>
  <si>
    <t xml:space="preserve">edge_6</t>
  </si>
  <si>
    <t xml:space="preserve">edge_7</t>
  </si>
  <si>
    <t xml:space="preserve">edge_8</t>
  </si>
  <si>
    <t xml:space="preserve">edge_9</t>
  </si>
  <si>
    <t xml:space="preserve">edge_10</t>
  </si>
  <si>
    <t xml:space="preserve">detour_km</t>
  </si>
  <si>
    <t xml:space="preserve">graph_km</t>
  </si>
  <si>
    <t xml:space="preserve">difference_km</t>
  </si>
  <si>
    <t xml:space="preserve">within_0.3km</t>
  </si>
  <si>
    <t xml:space="preserve">source</t>
  </si>
  <si>
    <t xml:space="preserve">UC to Mall Panakkukang (car)</t>
  </si>
  <si>
    <t xml:space="preserve">UC &gt; N1 &gt; N2 &gt; N3 &gt; N4 &gt; N5 &gt; N6 &gt; N7 &gt; N17 &gt; N8 &gt; MP</t>
  </si>
  <si>
    <t xml:space="preserve">route screenshot</t>
  </si>
  <si>
    <t xml:space="preserve">UC to Mal Ratu Indah (car)</t>
  </si>
  <si>
    <t xml:space="preserve">UC &gt; N1 &gt; N2 &gt; N9 &gt; N10 &gt; N11 &gt; Mari</t>
  </si>
  <si>
    <t xml:space="preserve">UC to TSM (car)</t>
  </si>
  <si>
    <t xml:space="preserve">UC &gt; N1 &gt; N12 &gt; N14 &gt; N13 &gt; TSM</t>
  </si>
  <si>
    <t xml:space="preserve">step list (image 4)</t>
  </si>
  <si>
    <t xml:space="preserve">TSM to Mal Ratu Indah (car)</t>
  </si>
  <si>
    <t xml:space="preserve">TSM &gt; N13 &gt; N14 &gt; N15 &gt; N10 &gt; N11 &gt; Mari</t>
  </si>
  <si>
    <t xml:space="preserve">TSM to Mall Panakkukang (bike)</t>
  </si>
  <si>
    <t xml:space="preserve">TSM &gt; N13 &gt; N14 &gt; N15 &gt; N10 &gt; N16 &gt; N17 &gt; MP</t>
  </si>
  <si>
    <t xml:space="preserve">TSM to Mall Panakkukang (car, south)</t>
  </si>
  <si>
    <t xml:space="preserve">TSM &gt; N13 &gt; N18 &gt; N19 &gt; N8 &gt; MP</t>
  </si>
  <si>
    <t xml:space="preserve">Mal Ratu Indah to Mall Panakkukang (car)</t>
  </si>
  <si>
    <t xml:space="preserve">Mari &gt; N20 &gt; N19 &gt; N8 &gt; MP</t>
  </si>
  <si>
    <t xml:space="preserve">Mal Ratu Indah to Mall Panakkukang (bike)</t>
  </si>
  <si>
    <t xml:space="preserve">Mari &gt; N21 &gt; N17 &gt; MP</t>
  </si>
  <si>
    <t xml:space="preserve">Mal Ratu Indah to TSM (car)</t>
  </si>
  <si>
    <t xml:space="preserve">Mari &gt; N11 &gt; N22 &gt; N9 &gt; N1 &gt; N12 &gt; N14 &gt; N13 &gt; TSM</t>
  </si>
  <si>
    <t xml:space="preserve">step list (image 5)</t>
  </si>
  <si>
    <t xml:space="preserve">Mal Ratu Indah to UC (car)</t>
  </si>
  <si>
    <t xml:space="preserve">Mari &gt; N11 &gt; N10 &gt; N9 &gt; N1 &gt; UC</t>
  </si>
  <si>
    <t xml:space="preserve">step list (images 6-7)</t>
  </si>
  <si>
    <t xml:space="preserve">google_km comes from your real Google Maps screenshots. graph_km = sum of the edges listed + detour_km. detour_km = 0.5 km U-turn when leaving Mal Ratu Indah northward by car.</t>
  </si>
  <si>
    <t xml:space="preserve">hazard</t>
  </si>
  <si>
    <t xml:space="preserve">location (from team member)</t>
  </si>
  <si>
    <t xml:space="preserve">graph edges</t>
  </si>
  <si>
    <t xml:space="preserve">default level</t>
  </si>
  <si>
    <t xml:space="preserve">Demonstrasi mahasiswa</t>
  </si>
  <si>
    <t xml:space="preserve">Jl. AP Pettarani, at the intersection toward Jl. Urip Sumoharjo</t>
  </si>
  <si>
    <t xml:space="preserve">E08 (N7-N17), E09 (N17-N8), E23 (N16-N17), E24 (N17-MP), E31 (N21-N17)</t>
  </si>
  <si>
    <t xml:space="preserve">Ditutup (blocked = 1)</t>
  </si>
  <si>
    <t xml:space="preserve">In front of UNM (sometimes)</t>
  </si>
  <si>
    <t xml:space="preserve">E09 (N17-N8), E27 (N19-N8)</t>
  </si>
  <si>
    <t xml:space="preserve">Banjir</t>
  </si>
  <si>
    <t xml:space="preserve">In front of Pantai Losari</t>
  </si>
  <si>
    <t xml:space="preserve">E02 (N1-N2), E03 (N2-N3), E11 (N2-N9)</t>
  </si>
  <si>
    <t xml:space="preserve">Berat (penalty 2)</t>
  </si>
  <si>
    <t xml:space="preserve">Kecelakaan mobil</t>
  </si>
  <si>
    <t xml:space="preserve">Random, no fixed location</t>
  </si>
  <si>
    <t xml:space="preserve">Any edge</t>
  </si>
  <si>
    <t xml:space="preserve">Ringan atau Berat</t>
  </si>
  <si>
    <t xml:space="preserve">Sumber: pesan dari Rasya (anggota tim), berdasarkan pengalaman lokal.</t>
  </si>
  <si>
    <t xml:space="preserve">ID</t>
  </si>
  <si>
    <t xml:space="preserve">scenario</t>
  </si>
  <si>
    <t xml:space="preserve">start</t>
  </si>
  <si>
    <t xml:space="preserve">goal</t>
  </si>
  <si>
    <t xml:space="preserve">hazard_edges</t>
  </si>
  <si>
    <t xml:space="preserve">level</t>
  </si>
  <si>
    <t xml:space="preserve">route without hazard</t>
  </si>
  <si>
    <t xml:space="preserve">cost without hazard</t>
  </si>
  <si>
    <t xml:space="preserve">route with hazard (A*)</t>
  </si>
  <si>
    <t xml:space="preserve">cost with hazard</t>
  </si>
  <si>
    <t xml:space="preserve">route changed?</t>
  </si>
  <si>
    <t xml:space="preserve">Tanpa gangguan (baseline)</t>
  </si>
  <si>
    <t xml:space="preserve">-</t>
  </si>
  <si>
    <t xml:space="preserve">UC &gt; N1 &gt; N9 &gt; N10 &gt; N16 &gt; N17 &gt; N8 &gt; MP</t>
  </si>
  <si>
    <t xml:space="preserve">Banjir di Pantai Losari (di luar rute terbaik)</t>
  </si>
  <si>
    <t xml:space="preserve">Berat</t>
  </si>
  <si>
    <t xml:space="preserve">Demonstrasi di simpang Jl. AP Pettarani</t>
  </si>
  <si>
    <t xml:space="preserve">Demonstrasi</t>
  </si>
  <si>
    <t xml:space="preserve">Ditutup</t>
  </si>
  <si>
    <t xml:space="preserve">UC &gt; N1 &gt; N9 &gt; N22 &gt; N11 &gt; Mari &gt; N20 &gt; N19 &gt; N8 &gt; MP</t>
  </si>
  <si>
    <t xml:space="preserve">Demonstrasi di depan UNM</t>
  </si>
  <si>
    <t xml:space="preserve">MP &gt; N8 &gt; N17 &gt; N16 &gt; N10 &gt; N11 &gt; Mari</t>
  </si>
  <si>
    <t xml:space="preserve">MP &gt; N17 &gt; N16 &gt; N10 &gt; N11 &gt; Mari</t>
  </si>
  <si>
    <t xml:space="preserve">Kecelakaan di Jl. H. Bau</t>
  </si>
  <si>
    <t xml:space="preserve">Kecelakaan</t>
  </si>
  <si>
    <t xml:space="preserve">E12 (N1-N9)</t>
  </si>
  <si>
    <t xml:space="preserve">UC &gt; N1 &gt; N9 &gt; N10 &gt; N11 &gt; Mari</t>
  </si>
  <si>
    <t xml:space="preserve">Kecelakaan di Jl. Metro Tj. Bunga</t>
  </si>
  <si>
    <t xml:space="preserve">E16 (N1-N12)</t>
  </si>
  <si>
    <t xml:space="preserve">Ringan</t>
  </si>
  <si>
    <t xml:space="preserve">UC &gt; N1 &gt; N9 &gt; N10 &gt; N15 &gt; N14 &gt; N13 &gt; TSM</t>
  </si>
  <si>
    <t xml:space="preserve">Penutupan jalan keluar UC</t>
  </si>
  <si>
    <t xml:space="preserve">E01 (UC-N1)</t>
  </si>
  <si>
    <t xml:space="preserve">Tidak ada rute (tujuan tidak terjangkau)</t>
  </si>
  <si>
    <t xml:space="preserve">INF</t>
  </si>
  <si>
    <t xml:space="preserve">Gabungan banjir Losari dan demo Pettarani</t>
  </si>
  <si>
    <t xml:space="preserve">Banjir + Demonstrasi</t>
  </si>
  <si>
    <t xml:space="preserve">E02 (N1-N2), E03 (N2-N3), E11 (N2-N9), E08 (N7-N17), E09 (N17-N8), E23 (N16-N17), E24 (N17-MP), E31 (N21-N17)</t>
  </si>
  <si>
    <t xml:space="preserve">Ditutup + Berat</t>
  </si>
  <si>
    <t xml:space="preserve">Rute dan biaya dihitung dengan skrip A* (gamma = 2, Ringan = 1, Berat = 2, Ditutup = INF). Program akhir harus menghasilkan nilai yang sama.</t>
  </si>
  <si>
    <t xml:space="preserve">scenario ID</t>
  </si>
  <si>
    <t xml:space="preserve">algorithm</t>
  </si>
  <si>
    <t xml:space="preserve">nodes_expanded</t>
  </si>
  <si>
    <t xml:space="preserve">path_cost</t>
  </si>
  <si>
    <t xml:space="preserve">optimal_cost (UCS)</t>
  </si>
  <si>
    <t xml:space="preserve">optimal?</t>
  </si>
  <si>
    <t xml:space="preserve">passes hazard edge?</t>
  </si>
  <si>
    <t xml:space="preserve">BFS</t>
  </si>
  <si>
    <t xml:space="preserve">UC &gt; N1 &gt; N9 &gt; N10 &gt; N16 &gt; N17 &gt; MP</t>
  </si>
  <si>
    <t xml:space="preserve">No</t>
  </si>
  <si>
    <t xml:space="preserve">UCS</t>
  </si>
  <si>
    <t xml:space="preserve">A*</t>
  </si>
  <si>
    <t xml:space="preserve">UC &gt; N1 &gt; N12 &gt; N14 &gt; N13 &gt; N18 &gt; N19 &gt; N8 &gt; MP</t>
  </si>
  <si>
    <t xml:space="preserve">MP &gt; N17 &gt; N21 &gt; Mari</t>
  </si>
  <si>
    <t xml:space="preserve">Yes</t>
  </si>
  <si>
    <t xml:space="preserve">UC &gt; N1 &gt; N2 &gt; N9 &gt; N22 &gt; N11 &gt; Mari</t>
  </si>
  <si>
    <t xml:space="preserve">Tidak ada rute</t>
  </si>
  <si>
    <t xml:space="preserve">nodes_expanded = jumlah simpul yang diambil dari antrian (frontier) sampai tujuan ditemukan. BFS mengabaikan bobot, jadi path_cost BFS adalah biaya rute yang dipilih BFS bila dihitung dengan rumus biaya. UCS dipakai sebagai acuan biaya optimal.</t>
  </si>
  <si>
    <t xml:space="preserve">run</t>
  </si>
  <si>
    <t xml:space="preserve">accident edge</t>
  </si>
  <si>
    <t xml:space="preserve">road</t>
  </si>
  <si>
    <t xml:space="preserve">route (A*)</t>
  </si>
  <si>
    <t xml:space="preserve">baseline cost</t>
  </si>
  <si>
    <t xml:space="preserve">E08 (N7-N17)</t>
  </si>
  <si>
    <t xml:space="preserve">E18 (N14-N13)</t>
  </si>
  <si>
    <t xml:space="preserve">E15 (N11-Mari)</t>
  </si>
  <si>
    <t xml:space="preserve">E07 (N6-N7)</t>
  </si>
  <si>
    <t xml:space="preserve">E28 (Mari-N20)</t>
  </si>
  <si>
    <t xml:space="preserve">E02 (N1-N2)</t>
  </si>
  <si>
    <t xml:space="preserve">E14 (N10-N11)</t>
  </si>
  <si>
    <t xml:space="preserve">E33 (N11-N22)</t>
  </si>
  <si>
    <t xml:space="preserve">E13 (N9-N10)</t>
  </si>
  <si>
    <t xml:space="preserve">UC &gt; N1 &gt; N9 &gt; N22 &gt; N11 &gt; N10 &gt; N16 &gt; N17 &gt; N8 &gt; MP</t>
  </si>
  <si>
    <t xml:space="preserve">UC ke Mall Panakkukang, 10 kali, random seed 42 (bisa diulang). Ruas dan level kecelakaan dipilih acak.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</si>
</sst>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5" hidden="false" customHeight="true" outlineLevel="0" collapsed="false">
      <c r="A1" s="2" t="s">
        <v>0</v>
      </c>
    </row>
    <row r="2" customFormat="false" ht="26.25" hidden="false" customHeight="true" outlineLevel="0" collapsed="false">
      <c r="A2" s="3" t="s">
        <v>1</v>
      </c>
    </row>
    <row r="3" customFormat="false" ht="15" hidden="false" customHeight="true" outlineLevel="0" collapsed="false">
      <c r="A3" s="3"/>
    </row>
    <row r="4" customFormat="false" ht="15" hidden="false" customHeight="true" outlineLevel="0" collapsed="false">
      <c r="A4" s="2" t="s">
        <v>2</v>
      </c>
    </row>
    <row r="5" customFormat="false" ht="26.2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 t="s">
        <v>6</v>
      </c>
    </row>
    <row r="9" customFormat="false" ht="15" hidden="false" customHeight="true" outlineLevel="0" collapsed="false">
      <c r="A9" s="3" t="s">
        <v>7</v>
      </c>
    </row>
    <row r="10" customFormat="false" ht="26.25" hidden="false" customHeight="true" outlineLevel="0" collapsed="false">
      <c r="A10" s="3" t="s">
        <v>8</v>
      </c>
    </row>
    <row r="11" customFormat="false" ht="15" hidden="false" customHeight="true" outlineLevel="0" collapsed="false">
      <c r="A11" s="3"/>
    </row>
    <row r="12" customFormat="false" ht="15" hidden="false" customHeight="true" outlineLevel="0" collapsed="false">
      <c r="A12" s="2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/>
    </row>
    <row r="15" customFormat="false" ht="15" hidden="false" customHeight="true" outlineLevel="0" collapsed="false">
      <c r="A15" s="2" t="s">
        <v>11</v>
      </c>
    </row>
    <row r="16" customFormat="false" ht="15" hidden="false" customHeight="true" outlineLevel="0" collapsed="false">
      <c r="A16" s="3" t="s">
        <v>12</v>
      </c>
    </row>
    <row r="17" customFormat="false" ht="26.25" hidden="false" customHeight="true" outlineLevel="0" collapsed="false">
      <c r="A17" s="3" t="s">
        <v>13</v>
      </c>
    </row>
    <row r="18" customFormat="false" ht="26.25" hidden="false" customHeight="true" outlineLevel="0" collapsed="false">
      <c r="A18" s="3" t="s">
        <v>14</v>
      </c>
    </row>
    <row r="19" customFormat="false" ht="15" hidden="false" customHeight="true" outlineLevel="0" collapsed="false">
      <c r="A19" s="3" t="s">
        <v>15</v>
      </c>
    </row>
    <row r="20" customFormat="false" ht="15" hidden="false" customHeight="true" outlineLevel="0" collapsed="false">
      <c r="A20" s="3"/>
    </row>
    <row r="21" customFormat="false" ht="15" hidden="false" customHeight="true" outlineLevel="0" collapsed="false">
      <c r="A21" s="2" t="s">
        <v>16</v>
      </c>
    </row>
    <row r="22" customFormat="false" ht="26.25" hidden="false" customHeight="true" outlineLevel="0" collapsed="false">
      <c r="A22" s="3" t="s">
        <v>17</v>
      </c>
    </row>
    <row r="23" customFormat="false" ht="26.25" hidden="false" customHeight="true" outlineLevel="0" collapsed="false">
      <c r="A23" s="3" t="s">
        <v>18</v>
      </c>
    </row>
    <row r="24" customFormat="false" ht="15" hidden="false" customHeight="true" outlineLevel="0" collapsed="false">
      <c r="A24" s="3" t="s">
        <v>19</v>
      </c>
    </row>
    <row r="25" customFormat="false" ht="15" hidden="false" customHeight="true" outlineLevel="0" collapsed="false">
      <c r="A25" s="3" t="s">
        <v>20</v>
      </c>
    </row>
    <row r="26" customFormat="false" ht="15" hidden="false" customHeight="true" outlineLevel="0" collapsed="false">
      <c r="A26" s="3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0"/>
    <col collapsed="false" customWidth="true" hidden="false" outlineLevel="0" max="3" min="3" style="1" width="70"/>
  </cols>
  <sheetData>
    <row r="1" customFormat="false" ht="15" hidden="false" customHeight="true" outlineLevel="0" collapsed="false">
      <c r="A1" s="4" t="s">
        <v>22</v>
      </c>
      <c r="B1" s="4" t="s">
        <v>23</v>
      </c>
      <c r="C1" s="4" t="s">
        <v>24</v>
      </c>
    </row>
    <row r="2" customFormat="false" ht="15" hidden="false" customHeight="true" outlineLevel="0" collapsed="false">
      <c r="A2" s="5" t="s">
        <v>25</v>
      </c>
      <c r="B2" s="6" t="n">
        <v>2</v>
      </c>
      <c r="C2" s="5" t="s">
        <v>26</v>
      </c>
    </row>
    <row r="3" customFormat="false" ht="15" hidden="false" customHeight="true" outlineLevel="0" collapsed="false">
      <c r="A3" s="5" t="s">
        <v>27</v>
      </c>
      <c r="B3" s="6" t="n">
        <v>1</v>
      </c>
      <c r="C3" s="5" t="s">
        <v>28</v>
      </c>
    </row>
    <row r="5" customFormat="false" ht="15" hidden="false" customHeight="true" outlineLevel="0" collapsed="false">
      <c r="A5" s="7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62"/>
    <col collapsed="false" customWidth="true" hidden="false" outlineLevel="0" max="3" min="3" style="1" width="13"/>
    <col collapsed="false" customWidth="true" hidden="false" outlineLevel="0" max="5" min="4" style="1" width="12"/>
    <col collapsed="false" customWidth="true" hidden="false" outlineLevel="0" max="6" min="6" style="1" width="20"/>
  </cols>
  <sheetData>
    <row r="1" customFormat="false" ht="26.25" hidden="false" customHeight="true" outlineLevel="0" collapsed="false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</row>
    <row r="2" customFormat="false" ht="15" hidden="false" customHeight="true" outlineLevel="0" collapsed="false">
      <c r="A2" s="5" t="s">
        <v>36</v>
      </c>
      <c r="B2" s="5" t="s">
        <v>37</v>
      </c>
      <c r="C2" s="5" t="s">
        <v>38</v>
      </c>
      <c r="D2" s="6" t="n">
        <v>-1.35</v>
      </c>
      <c r="E2" s="6" t="n">
        <v>0.05</v>
      </c>
      <c r="F2" s="5" t="s">
        <v>39</v>
      </c>
    </row>
    <row r="3" customFormat="false" ht="26.25" hidden="false" customHeight="true" outlineLevel="0" collapsed="false">
      <c r="A3" s="5" t="s">
        <v>40</v>
      </c>
      <c r="B3" s="5" t="s">
        <v>41</v>
      </c>
      <c r="C3" s="5" t="s">
        <v>42</v>
      </c>
      <c r="D3" s="6" t="n">
        <v>0</v>
      </c>
      <c r="E3" s="6" t="n">
        <v>0</v>
      </c>
      <c r="F3" s="5" t="s">
        <v>42</v>
      </c>
    </row>
    <row r="4" customFormat="false" ht="15" hidden="false" customHeight="true" outlineLevel="0" collapsed="false">
      <c r="A4" s="5" t="s">
        <v>43</v>
      </c>
      <c r="B4" s="5" t="s">
        <v>44</v>
      </c>
      <c r="C4" s="5" t="s">
        <v>42</v>
      </c>
      <c r="D4" s="6" t="n">
        <v>0.3</v>
      </c>
      <c r="E4" s="6" t="n">
        <v>0.7</v>
      </c>
      <c r="F4" s="5" t="s">
        <v>42</v>
      </c>
    </row>
    <row r="5" customFormat="false" ht="15" hidden="false" customHeight="true" outlineLevel="0" collapsed="false">
      <c r="A5" s="5" t="s">
        <v>45</v>
      </c>
      <c r="B5" s="5" t="s">
        <v>46</v>
      </c>
      <c r="C5" s="5" t="s">
        <v>42</v>
      </c>
      <c r="D5" s="6" t="n">
        <v>0.7</v>
      </c>
      <c r="E5" s="6" t="n">
        <v>1.1</v>
      </c>
      <c r="F5" s="5" t="s">
        <v>42</v>
      </c>
    </row>
    <row r="6" customFormat="false" ht="15" hidden="false" customHeight="true" outlineLevel="0" collapsed="false">
      <c r="A6" s="5" t="s">
        <v>47</v>
      </c>
      <c r="B6" s="5" t="s">
        <v>48</v>
      </c>
      <c r="C6" s="5" t="s">
        <v>42</v>
      </c>
      <c r="D6" s="6" t="n">
        <v>1.1</v>
      </c>
      <c r="E6" s="6" t="n">
        <v>0.85</v>
      </c>
      <c r="F6" s="5" t="s">
        <v>42</v>
      </c>
    </row>
    <row r="7" customFormat="false" ht="15" hidden="false" customHeight="true" outlineLevel="0" collapsed="false">
      <c r="A7" s="5" t="s">
        <v>49</v>
      </c>
      <c r="B7" s="5" t="s">
        <v>50</v>
      </c>
      <c r="C7" s="5" t="s">
        <v>42</v>
      </c>
      <c r="D7" s="6" t="n">
        <v>2.4</v>
      </c>
      <c r="E7" s="6" t="n">
        <v>0.5</v>
      </c>
      <c r="F7" s="5" t="s">
        <v>42</v>
      </c>
    </row>
    <row r="8" customFormat="false" ht="15" hidden="false" customHeight="true" outlineLevel="0" collapsed="false">
      <c r="A8" s="5" t="s">
        <v>51</v>
      </c>
      <c r="B8" s="5" t="s">
        <v>52</v>
      </c>
      <c r="C8" s="5" t="s">
        <v>42</v>
      </c>
      <c r="D8" s="6" t="n">
        <v>3.3</v>
      </c>
      <c r="E8" s="6" t="n">
        <v>0.3</v>
      </c>
      <c r="F8" s="5" t="s">
        <v>42</v>
      </c>
    </row>
    <row r="9" customFormat="false" ht="15" hidden="false" customHeight="true" outlineLevel="0" collapsed="false">
      <c r="A9" s="5" t="s">
        <v>53</v>
      </c>
      <c r="B9" s="5" t="s">
        <v>54</v>
      </c>
      <c r="C9" s="5" t="s">
        <v>42</v>
      </c>
      <c r="D9" s="6" t="n">
        <v>3.7</v>
      </c>
      <c r="E9" s="6" t="n">
        <v>-0.25</v>
      </c>
      <c r="F9" s="5" t="s">
        <v>42</v>
      </c>
    </row>
    <row r="10" customFormat="false" ht="15" hidden="false" customHeight="true" outlineLevel="0" collapsed="false">
      <c r="A10" s="5" t="s">
        <v>55</v>
      </c>
      <c r="B10" s="5" t="s">
        <v>56</v>
      </c>
      <c r="C10" s="5" t="s">
        <v>42</v>
      </c>
      <c r="D10" s="6" t="n">
        <v>3.85</v>
      </c>
      <c r="E10" s="6" t="n">
        <v>-1</v>
      </c>
      <c r="F10" s="5" t="s">
        <v>42</v>
      </c>
    </row>
    <row r="11" customFormat="false" ht="15" hidden="false" customHeight="true" outlineLevel="0" collapsed="false">
      <c r="A11" s="5" t="s">
        <v>57</v>
      </c>
      <c r="B11" s="5" t="s">
        <v>58</v>
      </c>
      <c r="C11" s="5" t="s">
        <v>38</v>
      </c>
      <c r="D11" s="6" t="n">
        <v>4.4</v>
      </c>
      <c r="E11" s="6" t="n">
        <v>-0.7</v>
      </c>
      <c r="F11" s="5" t="s">
        <v>39</v>
      </c>
    </row>
    <row r="12" customFormat="false" ht="15" hidden="false" customHeight="true" outlineLevel="0" collapsed="false">
      <c r="A12" s="5" t="s">
        <v>59</v>
      </c>
      <c r="B12" s="5" t="s">
        <v>60</v>
      </c>
      <c r="C12" s="5" t="s">
        <v>42</v>
      </c>
      <c r="D12" s="6" t="n">
        <v>0.55</v>
      </c>
      <c r="E12" s="6" t="n">
        <v>0</v>
      </c>
      <c r="F12" s="5" t="s">
        <v>42</v>
      </c>
    </row>
    <row r="13" customFormat="false" ht="15" hidden="false" customHeight="true" outlineLevel="0" collapsed="false">
      <c r="A13" s="5" t="s">
        <v>61</v>
      </c>
      <c r="B13" s="5" t="s">
        <v>62</v>
      </c>
      <c r="C13" s="5" t="s">
        <v>42</v>
      </c>
      <c r="D13" s="6" t="n">
        <v>0.55</v>
      </c>
      <c r="E13" s="6" t="n">
        <v>-0.38</v>
      </c>
      <c r="F13" s="5" t="s">
        <v>42</v>
      </c>
    </row>
    <row r="14" customFormat="false" ht="15" hidden="false" customHeight="true" outlineLevel="0" collapsed="false">
      <c r="A14" s="5" t="s">
        <v>63</v>
      </c>
      <c r="B14" s="5" t="s">
        <v>64</v>
      </c>
      <c r="C14" s="5" t="s">
        <v>42</v>
      </c>
      <c r="D14" s="6" t="n">
        <v>0.84</v>
      </c>
      <c r="E14" s="6" t="n">
        <v>-0.38</v>
      </c>
      <c r="F14" s="5" t="s">
        <v>42</v>
      </c>
    </row>
    <row r="15" customFormat="false" ht="15" hidden="false" customHeight="true" outlineLevel="0" collapsed="false">
      <c r="A15" s="5" t="s">
        <v>65</v>
      </c>
      <c r="B15" s="5" t="s">
        <v>66</v>
      </c>
      <c r="C15" s="5" t="s">
        <v>38</v>
      </c>
      <c r="D15" s="6" t="n">
        <v>0.85</v>
      </c>
      <c r="E15" s="6" t="n">
        <v>-0.55</v>
      </c>
      <c r="F15" s="5" t="s">
        <v>67</v>
      </c>
    </row>
    <row r="16" customFormat="false" ht="15" hidden="false" customHeight="true" outlineLevel="0" collapsed="false">
      <c r="A16" s="5" t="s">
        <v>68</v>
      </c>
      <c r="B16" s="5" t="s">
        <v>69</v>
      </c>
      <c r="C16" s="5" t="s">
        <v>42</v>
      </c>
      <c r="D16" s="6" t="n">
        <v>0.1</v>
      </c>
      <c r="E16" s="6" t="n">
        <v>-0.28</v>
      </c>
      <c r="F16" s="5" t="s">
        <v>42</v>
      </c>
    </row>
    <row r="17" customFormat="false" ht="15" hidden="false" customHeight="true" outlineLevel="0" collapsed="false">
      <c r="A17" s="5" t="s">
        <v>70</v>
      </c>
      <c r="B17" s="5" t="s">
        <v>71</v>
      </c>
      <c r="C17" s="5" t="s">
        <v>42</v>
      </c>
      <c r="D17" s="6" t="n">
        <v>0.15</v>
      </c>
      <c r="E17" s="6" t="n">
        <v>-2.3</v>
      </c>
      <c r="F17" s="5" t="s">
        <v>42</v>
      </c>
    </row>
    <row r="18" customFormat="false" ht="15" hidden="false" customHeight="true" outlineLevel="0" collapsed="false">
      <c r="A18" s="5" t="s">
        <v>72</v>
      </c>
      <c r="B18" s="5" t="s">
        <v>73</v>
      </c>
      <c r="C18" s="5" t="s">
        <v>42</v>
      </c>
      <c r="D18" s="6" t="n">
        <v>0.3</v>
      </c>
      <c r="E18" s="6" t="n">
        <v>-0.9</v>
      </c>
      <c r="F18" s="5" t="s">
        <v>42</v>
      </c>
    </row>
    <row r="19" customFormat="false" ht="15" hidden="false" customHeight="true" outlineLevel="0" collapsed="false">
      <c r="A19" s="5" t="s">
        <v>74</v>
      </c>
      <c r="B19" s="5" t="s">
        <v>75</v>
      </c>
      <c r="C19" s="5" t="s">
        <v>38</v>
      </c>
      <c r="D19" s="6" t="n">
        <v>-0.2</v>
      </c>
      <c r="E19" s="6" t="n">
        <v>-2.6</v>
      </c>
      <c r="F19" s="5" t="s">
        <v>67</v>
      </c>
    </row>
    <row r="20" customFormat="false" ht="15" hidden="false" customHeight="true" outlineLevel="0" collapsed="false">
      <c r="A20" s="5" t="s">
        <v>76</v>
      </c>
      <c r="B20" s="5" t="s">
        <v>77</v>
      </c>
      <c r="C20" s="5" t="s">
        <v>42</v>
      </c>
      <c r="D20" s="6" t="n">
        <v>0.8</v>
      </c>
      <c r="E20" s="6" t="n">
        <v>-1.2</v>
      </c>
      <c r="F20" s="5" t="s">
        <v>42</v>
      </c>
    </row>
    <row r="21" customFormat="false" ht="15" hidden="false" customHeight="true" outlineLevel="0" collapsed="false">
      <c r="A21" s="5" t="s">
        <v>78</v>
      </c>
      <c r="B21" s="5" t="s">
        <v>79</v>
      </c>
      <c r="C21" s="5" t="s">
        <v>42</v>
      </c>
      <c r="D21" s="6" t="n">
        <v>2</v>
      </c>
      <c r="E21" s="6" t="n">
        <v>-0.5</v>
      </c>
      <c r="F21" s="5" t="s">
        <v>42</v>
      </c>
    </row>
    <row r="22" customFormat="false" ht="15" hidden="false" customHeight="true" outlineLevel="0" collapsed="false">
      <c r="A22" s="5" t="s">
        <v>80</v>
      </c>
      <c r="B22" s="5" t="s">
        <v>81</v>
      </c>
      <c r="C22" s="5" t="s">
        <v>42</v>
      </c>
      <c r="D22" s="6" t="n">
        <v>3.9</v>
      </c>
      <c r="E22" s="6" t="n">
        <v>-0.7</v>
      </c>
      <c r="F22" s="5" t="s">
        <v>42</v>
      </c>
    </row>
    <row r="23" customFormat="false" ht="15" hidden="false" customHeight="true" outlineLevel="0" collapsed="false">
      <c r="A23" s="5" t="s">
        <v>82</v>
      </c>
      <c r="B23" s="5" t="s">
        <v>83</v>
      </c>
      <c r="C23" s="5" t="s">
        <v>42</v>
      </c>
      <c r="D23" s="6" t="n">
        <v>1.3</v>
      </c>
      <c r="E23" s="6" t="n">
        <v>-2.4</v>
      </c>
      <c r="F23" s="5" t="s">
        <v>42</v>
      </c>
    </row>
    <row r="24" customFormat="false" ht="15" hidden="false" customHeight="true" outlineLevel="0" collapsed="false">
      <c r="A24" s="5" t="s">
        <v>84</v>
      </c>
      <c r="B24" s="5" t="s">
        <v>85</v>
      </c>
      <c r="C24" s="5" t="s">
        <v>42</v>
      </c>
      <c r="D24" s="6" t="n">
        <v>3.3</v>
      </c>
      <c r="E24" s="6" t="n">
        <v>-2.35</v>
      </c>
      <c r="F24" s="5" t="s">
        <v>42</v>
      </c>
    </row>
    <row r="25" customFormat="false" ht="15" hidden="false" customHeight="true" outlineLevel="0" collapsed="false">
      <c r="A25" s="5" t="s">
        <v>86</v>
      </c>
      <c r="B25" s="5" t="s">
        <v>87</v>
      </c>
      <c r="C25" s="5" t="s">
        <v>42</v>
      </c>
      <c r="D25" s="6" t="n">
        <v>0.9</v>
      </c>
      <c r="E25" s="6" t="n">
        <v>-1.7</v>
      </c>
      <c r="F25" s="5" t="s">
        <v>42</v>
      </c>
    </row>
    <row r="26" customFormat="false" ht="15" hidden="false" customHeight="true" outlineLevel="0" collapsed="false">
      <c r="A26" s="5" t="s">
        <v>88</v>
      </c>
      <c r="B26" s="5" t="s">
        <v>89</v>
      </c>
      <c r="C26" s="5" t="s">
        <v>42</v>
      </c>
      <c r="D26" s="6" t="n">
        <v>1.8</v>
      </c>
      <c r="E26" s="6" t="n">
        <v>-0.9</v>
      </c>
      <c r="F26" s="5" t="s">
        <v>42</v>
      </c>
    </row>
    <row r="27" customFormat="false" ht="15" hidden="false" customHeight="true" outlineLevel="0" collapsed="false">
      <c r="A27" s="5" t="s">
        <v>90</v>
      </c>
      <c r="B27" s="5" t="s">
        <v>91</v>
      </c>
      <c r="C27" s="5" t="s">
        <v>42</v>
      </c>
      <c r="D27" s="6" t="n">
        <v>0.85</v>
      </c>
      <c r="E27" s="6" t="n">
        <v>0</v>
      </c>
      <c r="F27" s="5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7"/>
    <col collapsed="false" customWidth="true" hidden="false" outlineLevel="0" max="4" min="4" style="1" width="44"/>
    <col collapsed="false" customWidth="true" hidden="false" outlineLevel="0" max="5" min="5" style="1" width="11"/>
    <col collapsed="false" customWidth="true" hidden="false" outlineLevel="0" max="6" min="6" style="1" width="13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9"/>
    <col collapsed="false" customWidth="true" hidden="false" outlineLevel="0" max="10" min="10" style="1" width="12"/>
    <col collapsed="false" customWidth="true" hidden="false" outlineLevel="0" max="11" min="11" style="1" width="11"/>
    <col collapsed="false" customWidth="true" hidden="false" outlineLevel="0" max="12" min="12" style="1" width="22"/>
    <col collapsed="false" customWidth="true" hidden="false" outlineLevel="0" max="13" min="13" style="1" width="26"/>
    <col collapsed="false" customWidth="true" hidden="false" outlineLevel="0" max="14" min="14" style="1" width="10"/>
    <col collapsed="false" customWidth="true" hidden="false" outlineLevel="0" max="15" min="15" style="1" width="40"/>
  </cols>
  <sheetData>
    <row r="1" customFormat="false" ht="26.25" hidden="false" customHeight="true" outlineLevel="0" collapsed="false">
      <c r="A1" s="4" t="s">
        <v>92</v>
      </c>
      <c r="B1" s="4" t="s">
        <v>93</v>
      </c>
      <c r="C1" s="4" t="s">
        <v>94</v>
      </c>
      <c r="D1" s="4" t="s">
        <v>95</v>
      </c>
      <c r="E1" s="4" t="s">
        <v>96</v>
      </c>
      <c r="F1" s="4" t="s">
        <v>97</v>
      </c>
      <c r="G1" s="4" t="s">
        <v>98</v>
      </c>
      <c r="H1" s="4" t="s">
        <v>99</v>
      </c>
      <c r="I1" s="4" t="s">
        <v>100</v>
      </c>
      <c r="J1" s="4" t="s">
        <v>101</v>
      </c>
      <c r="K1" s="4" t="s">
        <v>102</v>
      </c>
      <c r="L1" s="4" t="s">
        <v>103</v>
      </c>
      <c r="M1" s="4" t="s">
        <v>104</v>
      </c>
      <c r="N1" s="4" t="s">
        <v>105</v>
      </c>
      <c r="O1" s="4" t="s">
        <v>106</v>
      </c>
    </row>
    <row r="2" customFormat="false" ht="15" hidden="false" customHeight="true" outlineLevel="0" collapsed="false">
      <c r="A2" s="5" t="s">
        <v>107</v>
      </c>
      <c r="B2" s="5" t="s">
        <v>36</v>
      </c>
      <c r="C2" s="5" t="s">
        <v>40</v>
      </c>
      <c r="D2" s="5" t="s">
        <v>108</v>
      </c>
      <c r="E2" s="6" t="n">
        <v>1.4</v>
      </c>
      <c r="F2" s="6" t="s">
        <v>109</v>
      </c>
      <c r="G2" s="6" t="n">
        <v>0</v>
      </c>
      <c r="H2" s="6" t="n">
        <v>0</v>
      </c>
      <c r="I2" s="5" t="n">
        <f aca="false">IF(H2=1,"INF",E2+Parameters!$B$2*G2)</f>
        <v>1.4</v>
      </c>
      <c r="J2" s="5" t="n">
        <f aca="false">ROUND(SQRT((INDEX(Nodes!$D$2:$D$27,MATCH(C2,Nodes!$A$2:$A$27,0))-INDEX(Nodes!$D$2:$D$27,MATCH(B2,Nodes!$A$2:$A$27,0)))^2+(INDEX(Nodes!$E$2:$E$27,MATCH(C2,Nodes!$A$2:$A$27,0))-INDEX(Nodes!$E$2:$E$27,MATCH(B2,Nodes!$A$2:$A$27,0)))^2),2)</f>
        <v>1.35</v>
      </c>
      <c r="K2" s="5" t="str">
        <f aca="false">IF(J2&lt;=E2,"OK","CHECK")</f>
        <v>OK</v>
      </c>
      <c r="L2" s="5" t="s">
        <v>110</v>
      </c>
      <c r="M2" s="5" t="s">
        <v>111</v>
      </c>
      <c r="N2" s="5" t="s">
        <v>112</v>
      </c>
      <c r="O2" s="5"/>
    </row>
    <row r="3" customFormat="false" ht="15" hidden="false" customHeight="true" outlineLevel="0" collapsed="false">
      <c r="A3" s="5" t="s">
        <v>113</v>
      </c>
      <c r="B3" s="5" t="s">
        <v>40</v>
      </c>
      <c r="C3" s="5" t="s">
        <v>43</v>
      </c>
      <c r="D3" s="5" t="s">
        <v>114</v>
      </c>
      <c r="E3" s="6" t="n">
        <v>1</v>
      </c>
      <c r="F3" s="6" t="s">
        <v>109</v>
      </c>
      <c r="G3" s="6" t="n">
        <v>0</v>
      </c>
      <c r="H3" s="6" t="n">
        <v>0</v>
      </c>
      <c r="I3" s="5" t="n">
        <f aca="false">IF(H3=1,"INF",E3+Parameters!$B$2*G3)</f>
        <v>1</v>
      </c>
      <c r="J3" s="5" t="n">
        <f aca="false">ROUND(SQRT((INDEX(Nodes!$D$2:$D$27,MATCH(C3,Nodes!$A$2:$A$27,0))-INDEX(Nodes!$D$2:$D$27,MATCH(B3,Nodes!$A$2:$A$27,0)))^2+(INDEX(Nodes!$E$2:$E$27,MATCH(C3,Nodes!$A$2:$A$27,0))-INDEX(Nodes!$E$2:$E$27,MATCH(B3,Nodes!$A$2:$A$27,0)))^2),2)</f>
        <v>0.76</v>
      </c>
      <c r="K3" s="5" t="str">
        <f aca="false">IF(J3&lt;=E3,"OK","CHECK")</f>
        <v>OK</v>
      </c>
      <c r="L3" s="5" t="s">
        <v>110</v>
      </c>
      <c r="M3" s="5" t="s">
        <v>115</v>
      </c>
      <c r="N3" s="5" t="s">
        <v>112</v>
      </c>
      <c r="O3" s="5"/>
    </row>
    <row r="4" customFormat="false" ht="15" hidden="false" customHeight="true" outlineLevel="0" collapsed="false">
      <c r="A4" s="5" t="s">
        <v>116</v>
      </c>
      <c r="B4" s="5" t="s">
        <v>43</v>
      </c>
      <c r="C4" s="5" t="s">
        <v>45</v>
      </c>
      <c r="D4" s="5" t="s">
        <v>46</v>
      </c>
      <c r="E4" s="6" t="n">
        <v>0.6</v>
      </c>
      <c r="F4" s="6" t="s">
        <v>109</v>
      </c>
      <c r="G4" s="6" t="n">
        <v>0</v>
      </c>
      <c r="H4" s="6" t="n">
        <v>0</v>
      </c>
      <c r="I4" s="5" t="n">
        <f aca="false">IF(H4=1,"INF",E4+Parameters!$B$2*G4)</f>
        <v>0.6</v>
      </c>
      <c r="J4" s="5" t="n">
        <f aca="false">ROUND(SQRT((INDEX(Nodes!$D$2:$D$27,MATCH(C4,Nodes!$A$2:$A$27,0))-INDEX(Nodes!$D$2:$D$27,MATCH(B4,Nodes!$A$2:$A$27,0)))^2+(INDEX(Nodes!$E$2:$E$27,MATCH(C4,Nodes!$A$2:$A$27,0))-INDEX(Nodes!$E$2:$E$27,MATCH(B4,Nodes!$A$2:$A$27,0)))^2),2)</f>
        <v>0.57</v>
      </c>
      <c r="K4" s="5" t="str">
        <f aca="false">IF(J4&lt;=E4,"OK","CHECK")</f>
        <v>OK</v>
      </c>
      <c r="L4" s="5" t="s">
        <v>110</v>
      </c>
      <c r="M4" s="5" t="s">
        <v>117</v>
      </c>
      <c r="N4" s="5" t="s">
        <v>112</v>
      </c>
      <c r="O4" s="5"/>
    </row>
    <row r="5" customFormat="false" ht="15" hidden="false" customHeight="true" outlineLevel="0" collapsed="false">
      <c r="A5" s="5" t="s">
        <v>118</v>
      </c>
      <c r="B5" s="5" t="s">
        <v>45</v>
      </c>
      <c r="C5" s="5" t="s">
        <v>47</v>
      </c>
      <c r="D5" s="5" t="s">
        <v>119</v>
      </c>
      <c r="E5" s="6" t="n">
        <v>0.5</v>
      </c>
      <c r="F5" s="6" t="s">
        <v>109</v>
      </c>
      <c r="G5" s="6" t="n">
        <v>0</v>
      </c>
      <c r="H5" s="6" t="n">
        <v>0</v>
      </c>
      <c r="I5" s="5" t="n">
        <f aca="false">IF(H5=1,"INF",E5+Parameters!$B$2*G5)</f>
        <v>0.5</v>
      </c>
      <c r="J5" s="5" t="n">
        <f aca="false">ROUND(SQRT((INDEX(Nodes!$D$2:$D$27,MATCH(C5,Nodes!$A$2:$A$27,0))-INDEX(Nodes!$D$2:$D$27,MATCH(B5,Nodes!$A$2:$A$27,0)))^2+(INDEX(Nodes!$E$2:$E$27,MATCH(C5,Nodes!$A$2:$A$27,0))-INDEX(Nodes!$E$2:$E$27,MATCH(B5,Nodes!$A$2:$A$27,0)))^2),2)</f>
        <v>0.47</v>
      </c>
      <c r="K5" s="5" t="str">
        <f aca="false">IF(J5&lt;=E5,"OK","CHECK")</f>
        <v>OK</v>
      </c>
      <c r="L5" s="5" t="s">
        <v>110</v>
      </c>
      <c r="M5" s="5" t="s">
        <v>117</v>
      </c>
      <c r="N5" s="5" t="s">
        <v>112</v>
      </c>
      <c r="O5" s="5"/>
    </row>
    <row r="6" customFormat="false" ht="15" hidden="false" customHeight="true" outlineLevel="0" collapsed="false">
      <c r="A6" s="5" t="s">
        <v>120</v>
      </c>
      <c r="B6" s="5" t="s">
        <v>47</v>
      </c>
      <c r="C6" s="5" t="s">
        <v>49</v>
      </c>
      <c r="D6" s="5" t="s">
        <v>121</v>
      </c>
      <c r="E6" s="6" t="n">
        <v>2</v>
      </c>
      <c r="F6" s="6" t="s">
        <v>109</v>
      </c>
      <c r="G6" s="6" t="n">
        <v>0</v>
      </c>
      <c r="H6" s="6" t="n">
        <v>0</v>
      </c>
      <c r="I6" s="5" t="n">
        <f aca="false">IF(H6=1,"INF",E6+Parameters!$B$2*G6)</f>
        <v>2</v>
      </c>
      <c r="J6" s="5" t="n">
        <f aca="false">ROUND(SQRT((INDEX(Nodes!$D$2:$D$27,MATCH(C6,Nodes!$A$2:$A$27,0))-INDEX(Nodes!$D$2:$D$27,MATCH(B6,Nodes!$A$2:$A$27,0)))^2+(INDEX(Nodes!$E$2:$E$27,MATCH(C6,Nodes!$A$2:$A$27,0))-INDEX(Nodes!$E$2:$E$27,MATCH(B6,Nodes!$A$2:$A$27,0)))^2),2)</f>
        <v>1.35</v>
      </c>
      <c r="K6" s="5" t="str">
        <f aca="false">IF(J6&lt;=E6,"OK","CHECK")</f>
        <v>OK</v>
      </c>
      <c r="L6" s="5" t="s">
        <v>110</v>
      </c>
      <c r="M6" s="5" t="s">
        <v>117</v>
      </c>
      <c r="N6" s="5" t="s">
        <v>112</v>
      </c>
      <c r="O6" s="5"/>
    </row>
    <row r="7" customFormat="false" ht="15" hidden="false" customHeight="true" outlineLevel="0" collapsed="false">
      <c r="A7" s="5" t="s">
        <v>122</v>
      </c>
      <c r="B7" s="5" t="s">
        <v>49</v>
      </c>
      <c r="C7" s="5" t="s">
        <v>51</v>
      </c>
      <c r="D7" s="5" t="s">
        <v>123</v>
      </c>
      <c r="E7" s="6" t="n">
        <v>1.5</v>
      </c>
      <c r="F7" s="6" t="s">
        <v>109</v>
      </c>
      <c r="G7" s="6" t="n">
        <v>0</v>
      </c>
      <c r="H7" s="6" t="n">
        <v>0</v>
      </c>
      <c r="I7" s="5" t="n">
        <f aca="false">IF(H7=1,"INF",E7+Parameters!$B$2*G7)</f>
        <v>1.5</v>
      </c>
      <c r="J7" s="5" t="n">
        <f aca="false">ROUND(SQRT((INDEX(Nodes!$D$2:$D$27,MATCH(C7,Nodes!$A$2:$A$27,0))-INDEX(Nodes!$D$2:$D$27,MATCH(B7,Nodes!$A$2:$A$27,0)))^2+(INDEX(Nodes!$E$2:$E$27,MATCH(C7,Nodes!$A$2:$A$27,0))-INDEX(Nodes!$E$2:$E$27,MATCH(B7,Nodes!$A$2:$A$27,0)))^2),2)</f>
        <v>0.92</v>
      </c>
      <c r="K7" s="5" t="str">
        <f aca="false">IF(J7&lt;=E7,"OK","CHECK")</f>
        <v>OK</v>
      </c>
      <c r="L7" s="5" t="s">
        <v>110</v>
      </c>
      <c r="M7" s="5" t="s">
        <v>117</v>
      </c>
      <c r="N7" s="5" t="s">
        <v>112</v>
      </c>
      <c r="O7" s="5"/>
    </row>
    <row r="8" customFormat="false" ht="15" hidden="false" customHeight="true" outlineLevel="0" collapsed="false">
      <c r="A8" s="5" t="s">
        <v>124</v>
      </c>
      <c r="B8" s="5" t="s">
        <v>51</v>
      </c>
      <c r="C8" s="5" t="s">
        <v>53</v>
      </c>
      <c r="D8" s="5" t="s">
        <v>125</v>
      </c>
      <c r="E8" s="6" t="n">
        <v>0.7</v>
      </c>
      <c r="F8" s="6" t="s">
        <v>109</v>
      </c>
      <c r="G8" s="6" t="n">
        <v>0</v>
      </c>
      <c r="H8" s="6" t="n">
        <v>0</v>
      </c>
      <c r="I8" s="5" t="n">
        <f aca="false">IF(H8=1,"INF",E8+Parameters!$B$2*G8)</f>
        <v>0.7</v>
      </c>
      <c r="J8" s="5" t="n">
        <f aca="false">ROUND(SQRT((INDEX(Nodes!$D$2:$D$27,MATCH(C8,Nodes!$A$2:$A$27,0))-INDEX(Nodes!$D$2:$D$27,MATCH(B8,Nodes!$A$2:$A$27,0)))^2+(INDEX(Nodes!$E$2:$E$27,MATCH(C8,Nodes!$A$2:$A$27,0))-INDEX(Nodes!$E$2:$E$27,MATCH(B8,Nodes!$A$2:$A$27,0)))^2),2)</f>
        <v>0.68</v>
      </c>
      <c r="K8" s="5" t="str">
        <f aca="false">IF(J8&lt;=E8,"OK","CHECK")</f>
        <v>OK</v>
      </c>
      <c r="L8" s="5" t="s">
        <v>110</v>
      </c>
      <c r="M8" s="5" t="s">
        <v>117</v>
      </c>
      <c r="N8" s="5" t="s">
        <v>112</v>
      </c>
      <c r="O8" s="5"/>
    </row>
    <row r="9" customFormat="false" ht="15" hidden="false" customHeight="true" outlineLevel="0" collapsed="false">
      <c r="A9" s="5" t="s">
        <v>126</v>
      </c>
      <c r="B9" s="5" t="s">
        <v>53</v>
      </c>
      <c r="C9" s="5" t="s">
        <v>80</v>
      </c>
      <c r="D9" s="5" t="s">
        <v>127</v>
      </c>
      <c r="E9" s="6" t="n">
        <v>0.5</v>
      </c>
      <c r="F9" s="6" t="s">
        <v>109</v>
      </c>
      <c r="G9" s="6" t="n">
        <v>0</v>
      </c>
      <c r="H9" s="6" t="n">
        <v>0</v>
      </c>
      <c r="I9" s="5" t="n">
        <f aca="false">IF(H9=1,"INF",E9+Parameters!$B$2*G9)</f>
        <v>0.5</v>
      </c>
      <c r="J9" s="5" t="n">
        <f aca="false">ROUND(SQRT((INDEX(Nodes!$D$2:$D$27,MATCH(C9,Nodes!$A$2:$A$27,0))-INDEX(Nodes!$D$2:$D$27,MATCH(B9,Nodes!$A$2:$A$27,0)))^2+(INDEX(Nodes!$E$2:$E$27,MATCH(C9,Nodes!$A$2:$A$27,0))-INDEX(Nodes!$E$2:$E$27,MATCH(B9,Nodes!$A$2:$A$27,0)))^2),2)</f>
        <v>0.49</v>
      </c>
      <c r="K9" s="5" t="str">
        <f aca="false">IF(J9&lt;=E9,"OK","CHECK")</f>
        <v>OK</v>
      </c>
      <c r="L9" s="5" t="s">
        <v>110</v>
      </c>
      <c r="M9" s="5" t="s">
        <v>117</v>
      </c>
      <c r="N9" s="5" t="s">
        <v>112</v>
      </c>
      <c r="O9" s="5"/>
    </row>
    <row r="10" customFormat="false" ht="15" hidden="false" customHeight="true" outlineLevel="0" collapsed="false">
      <c r="A10" s="5" t="s">
        <v>128</v>
      </c>
      <c r="B10" s="5" t="s">
        <v>80</v>
      </c>
      <c r="C10" s="5" t="s">
        <v>55</v>
      </c>
      <c r="D10" s="5" t="s">
        <v>129</v>
      </c>
      <c r="E10" s="6" t="n">
        <v>0.35</v>
      </c>
      <c r="F10" s="6" t="s">
        <v>109</v>
      </c>
      <c r="G10" s="6" t="n">
        <v>0</v>
      </c>
      <c r="H10" s="6" t="n">
        <v>0</v>
      </c>
      <c r="I10" s="5" t="n">
        <f aca="false">IF(H10=1,"INF",E10+Parameters!$B$2*G10)</f>
        <v>0.35</v>
      </c>
      <c r="J10" s="5" t="n">
        <f aca="false">ROUND(SQRT((INDEX(Nodes!$D$2:$D$27,MATCH(C10,Nodes!$A$2:$A$27,0))-INDEX(Nodes!$D$2:$D$27,MATCH(B10,Nodes!$A$2:$A$27,0)))^2+(INDEX(Nodes!$E$2:$E$27,MATCH(C10,Nodes!$A$2:$A$27,0))-INDEX(Nodes!$E$2:$E$27,MATCH(B10,Nodes!$A$2:$A$27,0)))^2),2)</f>
        <v>0.3</v>
      </c>
      <c r="K10" s="5" t="str">
        <f aca="false">IF(J10&lt;=E10,"OK","CHECK")</f>
        <v>OK</v>
      </c>
      <c r="L10" s="5" t="s">
        <v>110</v>
      </c>
      <c r="M10" s="5" t="s">
        <v>117</v>
      </c>
      <c r="N10" s="5" t="s">
        <v>112</v>
      </c>
      <c r="O10" s="5"/>
    </row>
    <row r="11" customFormat="false" ht="15" hidden="false" customHeight="true" outlineLevel="0" collapsed="false">
      <c r="A11" s="5" t="s">
        <v>130</v>
      </c>
      <c r="B11" s="5" t="s">
        <v>55</v>
      </c>
      <c r="C11" s="5" t="s">
        <v>57</v>
      </c>
      <c r="D11" s="5" t="s">
        <v>131</v>
      </c>
      <c r="E11" s="6" t="n">
        <v>0.9</v>
      </c>
      <c r="F11" s="6" t="s">
        <v>109</v>
      </c>
      <c r="G11" s="6" t="n">
        <v>0</v>
      </c>
      <c r="H11" s="6" t="n">
        <v>0</v>
      </c>
      <c r="I11" s="5" t="n">
        <f aca="false">IF(H11=1,"INF",E11+Parameters!$B$2*G11)</f>
        <v>0.9</v>
      </c>
      <c r="J11" s="5" t="n">
        <f aca="false">ROUND(SQRT((INDEX(Nodes!$D$2:$D$27,MATCH(C11,Nodes!$A$2:$A$27,0))-INDEX(Nodes!$D$2:$D$27,MATCH(B11,Nodes!$A$2:$A$27,0)))^2+(INDEX(Nodes!$E$2:$E$27,MATCH(C11,Nodes!$A$2:$A$27,0))-INDEX(Nodes!$E$2:$E$27,MATCH(B11,Nodes!$A$2:$A$27,0)))^2),2)</f>
        <v>0.63</v>
      </c>
      <c r="K11" s="5" t="str">
        <f aca="false">IF(J11&lt;=E11,"OK","CHECK")</f>
        <v>OK</v>
      </c>
      <c r="L11" s="5" t="s">
        <v>110</v>
      </c>
      <c r="M11" s="5" t="s">
        <v>132</v>
      </c>
      <c r="N11" s="5" t="s">
        <v>112</v>
      </c>
      <c r="O11" s="5"/>
    </row>
    <row r="12" customFormat="false" ht="15" hidden="false" customHeight="true" outlineLevel="0" collapsed="false">
      <c r="A12" s="5" t="s">
        <v>133</v>
      </c>
      <c r="B12" s="5" t="s">
        <v>43</v>
      </c>
      <c r="C12" s="5" t="s">
        <v>59</v>
      </c>
      <c r="D12" s="5" t="s">
        <v>134</v>
      </c>
      <c r="E12" s="6" t="n">
        <v>0.9</v>
      </c>
      <c r="F12" s="6" t="s">
        <v>109</v>
      </c>
      <c r="G12" s="6" t="n">
        <v>0</v>
      </c>
      <c r="H12" s="6" t="n">
        <v>0</v>
      </c>
      <c r="I12" s="5" t="n">
        <f aca="false">IF(H12=1,"INF",E12+Parameters!$B$2*G12)</f>
        <v>0.9</v>
      </c>
      <c r="J12" s="5" t="n">
        <f aca="false">ROUND(SQRT((INDEX(Nodes!$D$2:$D$27,MATCH(C12,Nodes!$A$2:$A$27,0))-INDEX(Nodes!$D$2:$D$27,MATCH(B12,Nodes!$A$2:$A$27,0)))^2+(INDEX(Nodes!$E$2:$E$27,MATCH(C12,Nodes!$A$2:$A$27,0))-INDEX(Nodes!$E$2:$E$27,MATCH(B12,Nodes!$A$2:$A$27,0)))^2),2)</f>
        <v>0.74</v>
      </c>
      <c r="K12" s="5" t="str">
        <f aca="false">IF(J12&lt;=E12,"OK","CHECK")</f>
        <v>OK</v>
      </c>
      <c r="L12" s="5" t="s">
        <v>110</v>
      </c>
      <c r="M12" s="5" t="s">
        <v>135</v>
      </c>
      <c r="N12" s="5" t="s">
        <v>112</v>
      </c>
      <c r="O12" s="5"/>
    </row>
    <row r="13" customFormat="false" ht="15" hidden="false" customHeight="true" outlineLevel="0" collapsed="false">
      <c r="A13" s="5" t="s">
        <v>136</v>
      </c>
      <c r="B13" s="5" t="s">
        <v>40</v>
      </c>
      <c r="C13" s="5" t="s">
        <v>59</v>
      </c>
      <c r="D13" s="5" t="s">
        <v>137</v>
      </c>
      <c r="E13" s="6" t="n">
        <v>0.6</v>
      </c>
      <c r="F13" s="6" t="s">
        <v>109</v>
      </c>
      <c r="G13" s="6" t="n">
        <v>0</v>
      </c>
      <c r="H13" s="6" t="n">
        <v>0</v>
      </c>
      <c r="I13" s="5" t="n">
        <f aca="false">IF(H13=1,"INF",E13+Parameters!$B$2*G13)</f>
        <v>0.6</v>
      </c>
      <c r="J13" s="5" t="n">
        <f aca="false">ROUND(SQRT((INDEX(Nodes!$D$2:$D$27,MATCH(C13,Nodes!$A$2:$A$27,0))-INDEX(Nodes!$D$2:$D$27,MATCH(B13,Nodes!$A$2:$A$27,0)))^2+(INDEX(Nodes!$E$2:$E$27,MATCH(C13,Nodes!$A$2:$A$27,0))-INDEX(Nodes!$E$2:$E$27,MATCH(B13,Nodes!$A$2:$A$27,0)))^2),2)</f>
        <v>0.55</v>
      </c>
      <c r="K13" s="5" t="str">
        <f aca="false">IF(J13&lt;=E13,"OK","CHECK")</f>
        <v>OK</v>
      </c>
      <c r="L13" s="5" t="s">
        <v>110</v>
      </c>
      <c r="M13" s="5" t="s">
        <v>138</v>
      </c>
      <c r="N13" s="5" t="s">
        <v>112</v>
      </c>
      <c r="O13" s="5"/>
    </row>
    <row r="14" customFormat="false" ht="15" hidden="false" customHeight="true" outlineLevel="0" collapsed="false">
      <c r="A14" s="5" t="s">
        <v>139</v>
      </c>
      <c r="B14" s="5" t="s">
        <v>59</v>
      </c>
      <c r="C14" s="5" t="s">
        <v>61</v>
      </c>
      <c r="D14" s="5" t="s">
        <v>140</v>
      </c>
      <c r="E14" s="6" t="n">
        <v>0.4</v>
      </c>
      <c r="F14" s="6" t="s">
        <v>109</v>
      </c>
      <c r="G14" s="6" t="n">
        <v>0</v>
      </c>
      <c r="H14" s="6" t="n">
        <v>0</v>
      </c>
      <c r="I14" s="5" t="n">
        <f aca="false">IF(H14=1,"INF",E14+Parameters!$B$2*G14)</f>
        <v>0.4</v>
      </c>
      <c r="J14" s="5" t="n">
        <f aca="false">ROUND(SQRT((INDEX(Nodes!$D$2:$D$27,MATCH(C14,Nodes!$A$2:$A$27,0))-INDEX(Nodes!$D$2:$D$27,MATCH(B14,Nodes!$A$2:$A$27,0)))^2+(INDEX(Nodes!$E$2:$E$27,MATCH(C14,Nodes!$A$2:$A$27,0))-INDEX(Nodes!$E$2:$E$27,MATCH(B14,Nodes!$A$2:$A$27,0)))^2),2)</f>
        <v>0.38</v>
      </c>
      <c r="K14" s="5" t="str">
        <f aca="false">IF(J14&lt;=E14,"OK","CHECK")</f>
        <v>OK</v>
      </c>
      <c r="L14" s="5" t="s">
        <v>110</v>
      </c>
      <c r="M14" s="5" t="s">
        <v>138</v>
      </c>
      <c r="N14" s="5" t="s">
        <v>112</v>
      </c>
      <c r="O14" s="5"/>
    </row>
    <row r="15" customFormat="false" ht="26.25" hidden="false" customHeight="true" outlineLevel="0" collapsed="false">
      <c r="A15" s="5" t="s">
        <v>141</v>
      </c>
      <c r="B15" s="5" t="s">
        <v>61</v>
      </c>
      <c r="C15" s="5" t="s">
        <v>63</v>
      </c>
      <c r="D15" s="5" t="s">
        <v>142</v>
      </c>
      <c r="E15" s="6" t="n">
        <v>0.3</v>
      </c>
      <c r="F15" s="6" t="s">
        <v>109</v>
      </c>
      <c r="G15" s="6" t="n">
        <v>0</v>
      </c>
      <c r="H15" s="6" t="n">
        <v>0</v>
      </c>
      <c r="I15" s="5" t="n">
        <f aca="false">IF(H15=1,"INF",E15+Parameters!$B$2*G15)</f>
        <v>0.3</v>
      </c>
      <c r="J15" s="5" t="n">
        <f aca="false">ROUND(SQRT((INDEX(Nodes!$D$2:$D$27,MATCH(C15,Nodes!$A$2:$A$27,0))-INDEX(Nodes!$D$2:$D$27,MATCH(B15,Nodes!$A$2:$A$27,0)))^2+(INDEX(Nodes!$E$2:$E$27,MATCH(C15,Nodes!$A$2:$A$27,0))-INDEX(Nodes!$E$2:$E$27,MATCH(B15,Nodes!$A$2:$A$27,0)))^2),2)</f>
        <v>0.29</v>
      </c>
      <c r="K15" s="5" t="str">
        <f aca="false">IF(J15&lt;=E15,"OK","CHECK")</f>
        <v>OK</v>
      </c>
      <c r="L15" s="5" t="s">
        <v>110</v>
      </c>
      <c r="M15" s="5" t="s">
        <v>143</v>
      </c>
      <c r="N15" s="5" t="s">
        <v>112</v>
      </c>
      <c r="O15" s="5"/>
    </row>
    <row r="16" customFormat="false" ht="39" hidden="false" customHeight="true" outlineLevel="0" collapsed="false">
      <c r="A16" s="5" t="s">
        <v>144</v>
      </c>
      <c r="B16" s="5" t="s">
        <v>63</v>
      </c>
      <c r="C16" s="5" t="s">
        <v>65</v>
      </c>
      <c r="D16" s="5" t="s">
        <v>145</v>
      </c>
      <c r="E16" s="6" t="n">
        <v>0.2</v>
      </c>
      <c r="F16" s="6" t="s">
        <v>109</v>
      </c>
      <c r="G16" s="6" t="n">
        <v>0</v>
      </c>
      <c r="H16" s="6" t="n">
        <v>0</v>
      </c>
      <c r="I16" s="5" t="n">
        <f aca="false">IF(H16=1,"INF",E16+Parameters!$B$2*G16)</f>
        <v>0.2</v>
      </c>
      <c r="J16" s="5" t="n">
        <f aca="false">ROUND(SQRT((INDEX(Nodes!$D$2:$D$27,MATCH(C16,Nodes!$A$2:$A$27,0))-INDEX(Nodes!$D$2:$D$27,MATCH(B16,Nodes!$A$2:$A$27,0)))^2+(INDEX(Nodes!$E$2:$E$27,MATCH(C16,Nodes!$A$2:$A$27,0))-INDEX(Nodes!$E$2:$E$27,MATCH(B16,Nodes!$A$2:$A$27,0)))^2),2)</f>
        <v>0.17</v>
      </c>
      <c r="K16" s="5" t="str">
        <f aca="false">IF(J16&lt;=E16,"OK","CHECK")</f>
        <v>OK</v>
      </c>
      <c r="L16" s="5" t="s">
        <v>110</v>
      </c>
      <c r="M16" s="5" t="s">
        <v>143</v>
      </c>
      <c r="N16" s="5" t="s">
        <v>112</v>
      </c>
      <c r="O16" s="5" t="s">
        <v>146</v>
      </c>
    </row>
    <row r="17" customFormat="false" ht="15" hidden="false" customHeight="true" outlineLevel="0" collapsed="false">
      <c r="A17" s="5" t="s">
        <v>147</v>
      </c>
      <c r="B17" s="5" t="s">
        <v>40</v>
      </c>
      <c r="C17" s="5" t="s">
        <v>68</v>
      </c>
      <c r="D17" s="5" t="s">
        <v>148</v>
      </c>
      <c r="E17" s="6" t="n">
        <v>0.3</v>
      </c>
      <c r="F17" s="6" t="s">
        <v>109</v>
      </c>
      <c r="G17" s="6" t="n">
        <v>0</v>
      </c>
      <c r="H17" s="6" t="n">
        <v>0</v>
      </c>
      <c r="I17" s="5" t="n">
        <f aca="false">IF(H17=1,"INF",E17+Parameters!$B$2*G17)</f>
        <v>0.3</v>
      </c>
      <c r="J17" s="5" t="n">
        <f aca="false">ROUND(SQRT((INDEX(Nodes!$D$2:$D$27,MATCH(C17,Nodes!$A$2:$A$27,0))-INDEX(Nodes!$D$2:$D$27,MATCH(B17,Nodes!$A$2:$A$27,0)))^2+(INDEX(Nodes!$E$2:$E$27,MATCH(C17,Nodes!$A$2:$A$27,0))-INDEX(Nodes!$E$2:$E$27,MATCH(B17,Nodes!$A$2:$A$27,0)))^2),2)</f>
        <v>0.3</v>
      </c>
      <c r="K17" s="5" t="str">
        <f aca="false">IF(J17&lt;=E17,"OK","CHECK")</f>
        <v>OK</v>
      </c>
      <c r="L17" s="5" t="s">
        <v>110</v>
      </c>
      <c r="M17" s="5" t="s">
        <v>149</v>
      </c>
      <c r="N17" s="5" t="s">
        <v>112</v>
      </c>
      <c r="O17" s="5"/>
    </row>
    <row r="18" customFormat="false" ht="15" hidden="false" customHeight="true" outlineLevel="0" collapsed="false">
      <c r="A18" s="5" t="s">
        <v>150</v>
      </c>
      <c r="B18" s="5" t="s">
        <v>68</v>
      </c>
      <c r="C18" s="5" t="s">
        <v>72</v>
      </c>
      <c r="D18" s="5" t="s">
        <v>148</v>
      </c>
      <c r="E18" s="6" t="n">
        <v>0.7</v>
      </c>
      <c r="F18" s="6" t="s">
        <v>109</v>
      </c>
      <c r="G18" s="6" t="n">
        <v>0</v>
      </c>
      <c r="H18" s="6" t="n">
        <v>0</v>
      </c>
      <c r="I18" s="5" t="n">
        <f aca="false">IF(H18=1,"INF",E18+Parameters!$B$2*G18)</f>
        <v>0.7</v>
      </c>
      <c r="J18" s="5" t="n">
        <f aca="false">ROUND(SQRT((INDEX(Nodes!$D$2:$D$27,MATCH(C18,Nodes!$A$2:$A$27,0))-INDEX(Nodes!$D$2:$D$27,MATCH(B18,Nodes!$A$2:$A$27,0)))^2+(INDEX(Nodes!$E$2:$E$27,MATCH(C18,Nodes!$A$2:$A$27,0))-INDEX(Nodes!$E$2:$E$27,MATCH(B18,Nodes!$A$2:$A$27,0)))^2),2)</f>
        <v>0.65</v>
      </c>
      <c r="K18" s="5" t="str">
        <f aca="false">IF(J18&lt;=E18,"OK","CHECK")</f>
        <v>OK</v>
      </c>
      <c r="L18" s="5" t="s">
        <v>110</v>
      </c>
      <c r="M18" s="5" t="s">
        <v>149</v>
      </c>
      <c r="N18" s="5" t="s">
        <v>112</v>
      </c>
      <c r="O18" s="5"/>
    </row>
    <row r="19" customFormat="false" ht="26.25" hidden="false" customHeight="true" outlineLevel="0" collapsed="false">
      <c r="A19" s="5" t="s">
        <v>151</v>
      </c>
      <c r="B19" s="5" t="s">
        <v>72</v>
      </c>
      <c r="C19" s="5" t="s">
        <v>70</v>
      </c>
      <c r="D19" s="5" t="s">
        <v>148</v>
      </c>
      <c r="E19" s="6" t="n">
        <v>1.5</v>
      </c>
      <c r="F19" s="6" t="s">
        <v>109</v>
      </c>
      <c r="G19" s="6" t="n">
        <v>0</v>
      </c>
      <c r="H19" s="6" t="n">
        <v>0</v>
      </c>
      <c r="I19" s="5" t="n">
        <f aca="false">IF(H19=1,"INF",E19+Parameters!$B$2*G19)</f>
        <v>1.5</v>
      </c>
      <c r="J19" s="5" t="n">
        <f aca="false">ROUND(SQRT((INDEX(Nodes!$D$2:$D$27,MATCH(C19,Nodes!$A$2:$A$27,0))-INDEX(Nodes!$D$2:$D$27,MATCH(B19,Nodes!$A$2:$A$27,0)))^2+(INDEX(Nodes!$E$2:$E$27,MATCH(C19,Nodes!$A$2:$A$27,0))-INDEX(Nodes!$E$2:$E$27,MATCH(B19,Nodes!$A$2:$A$27,0)))^2),2)</f>
        <v>1.41</v>
      </c>
      <c r="K19" s="5" t="str">
        <f aca="false">IF(J19&lt;=E19,"OK","CHECK")</f>
        <v>OK</v>
      </c>
      <c r="L19" s="5" t="s">
        <v>110</v>
      </c>
      <c r="M19" s="5" t="s">
        <v>152</v>
      </c>
      <c r="N19" s="5" t="s">
        <v>112</v>
      </c>
      <c r="O19" s="5"/>
    </row>
    <row r="20" customFormat="false" ht="15" hidden="false" customHeight="true" outlineLevel="0" collapsed="false">
      <c r="A20" s="5" t="s">
        <v>153</v>
      </c>
      <c r="B20" s="5" t="s">
        <v>70</v>
      </c>
      <c r="C20" s="5" t="s">
        <v>74</v>
      </c>
      <c r="D20" s="5" t="s">
        <v>148</v>
      </c>
      <c r="E20" s="6" t="n">
        <v>0.5</v>
      </c>
      <c r="F20" s="6" t="s">
        <v>109</v>
      </c>
      <c r="G20" s="6" t="n">
        <v>0</v>
      </c>
      <c r="H20" s="6" t="n">
        <v>0</v>
      </c>
      <c r="I20" s="5" t="n">
        <f aca="false">IF(H20=1,"INF",E20+Parameters!$B$2*G20)</f>
        <v>0.5</v>
      </c>
      <c r="J20" s="5" t="n">
        <f aca="false">ROUND(SQRT((INDEX(Nodes!$D$2:$D$27,MATCH(C20,Nodes!$A$2:$A$27,0))-INDEX(Nodes!$D$2:$D$27,MATCH(B20,Nodes!$A$2:$A$27,0)))^2+(INDEX(Nodes!$E$2:$E$27,MATCH(C20,Nodes!$A$2:$A$27,0))-INDEX(Nodes!$E$2:$E$27,MATCH(B20,Nodes!$A$2:$A$27,0)))^2),2)</f>
        <v>0.46</v>
      </c>
      <c r="K20" s="5" t="str">
        <f aca="false">IF(J20&lt;=E20,"OK","CHECK")</f>
        <v>OK</v>
      </c>
      <c r="L20" s="5" t="s">
        <v>110</v>
      </c>
      <c r="M20" s="5" t="s">
        <v>149</v>
      </c>
      <c r="N20" s="5" t="s">
        <v>112</v>
      </c>
      <c r="O20" s="5"/>
    </row>
    <row r="21" customFormat="false" ht="15" hidden="false" customHeight="true" outlineLevel="0" collapsed="false">
      <c r="A21" s="5" t="s">
        <v>154</v>
      </c>
      <c r="B21" s="5" t="s">
        <v>72</v>
      </c>
      <c r="C21" s="5" t="s">
        <v>76</v>
      </c>
      <c r="D21" s="5" t="s">
        <v>155</v>
      </c>
      <c r="E21" s="6" t="n">
        <v>0.8</v>
      </c>
      <c r="F21" s="6" t="s">
        <v>109</v>
      </c>
      <c r="G21" s="6" t="n">
        <v>0</v>
      </c>
      <c r="H21" s="6" t="n">
        <v>0</v>
      </c>
      <c r="I21" s="5" t="n">
        <f aca="false">IF(H21=1,"INF",E21+Parameters!$B$2*G21)</f>
        <v>0.8</v>
      </c>
      <c r="J21" s="5" t="n">
        <f aca="false">ROUND(SQRT((INDEX(Nodes!$D$2:$D$27,MATCH(C21,Nodes!$A$2:$A$27,0))-INDEX(Nodes!$D$2:$D$27,MATCH(B21,Nodes!$A$2:$A$27,0)))^2+(INDEX(Nodes!$E$2:$E$27,MATCH(C21,Nodes!$A$2:$A$27,0))-INDEX(Nodes!$E$2:$E$27,MATCH(B21,Nodes!$A$2:$A$27,0)))^2),2)</f>
        <v>0.58</v>
      </c>
      <c r="K21" s="5" t="str">
        <f aca="false">IF(J21&lt;=E21,"OK","CHECK")</f>
        <v>OK</v>
      </c>
      <c r="L21" s="5" t="s">
        <v>110</v>
      </c>
      <c r="M21" s="5" t="s">
        <v>156</v>
      </c>
      <c r="N21" s="5" t="s">
        <v>112</v>
      </c>
      <c r="O21" s="5"/>
    </row>
    <row r="22" customFormat="false" ht="15" hidden="false" customHeight="true" outlineLevel="0" collapsed="false">
      <c r="A22" s="5" t="s">
        <v>157</v>
      </c>
      <c r="B22" s="5" t="s">
        <v>76</v>
      </c>
      <c r="C22" s="5" t="s">
        <v>61</v>
      </c>
      <c r="D22" s="5" t="s">
        <v>158</v>
      </c>
      <c r="E22" s="6" t="n">
        <v>0.9</v>
      </c>
      <c r="F22" s="6" t="s">
        <v>109</v>
      </c>
      <c r="G22" s="6" t="n">
        <v>0</v>
      </c>
      <c r="H22" s="6" t="n">
        <v>0</v>
      </c>
      <c r="I22" s="5" t="n">
        <f aca="false">IF(H22=1,"INF",E22+Parameters!$B$2*G22)</f>
        <v>0.9</v>
      </c>
      <c r="J22" s="5" t="n">
        <f aca="false">ROUND(SQRT((INDEX(Nodes!$D$2:$D$27,MATCH(C22,Nodes!$A$2:$A$27,0))-INDEX(Nodes!$D$2:$D$27,MATCH(B22,Nodes!$A$2:$A$27,0)))^2+(INDEX(Nodes!$E$2:$E$27,MATCH(C22,Nodes!$A$2:$A$27,0))-INDEX(Nodes!$E$2:$E$27,MATCH(B22,Nodes!$A$2:$A$27,0)))^2),2)</f>
        <v>0.86</v>
      </c>
      <c r="K22" s="5" t="str">
        <f aca="false">IF(J22&lt;=E22,"OK","CHECK")</f>
        <v>OK</v>
      </c>
      <c r="L22" s="5" t="s">
        <v>110</v>
      </c>
      <c r="M22" s="5" t="s">
        <v>156</v>
      </c>
      <c r="N22" s="5" t="s">
        <v>112</v>
      </c>
      <c r="O22" s="5"/>
    </row>
    <row r="23" customFormat="false" ht="15" hidden="false" customHeight="true" outlineLevel="0" collapsed="false">
      <c r="A23" s="5" t="s">
        <v>159</v>
      </c>
      <c r="B23" s="5" t="s">
        <v>61</v>
      </c>
      <c r="C23" s="5" t="s">
        <v>78</v>
      </c>
      <c r="D23" s="5" t="s">
        <v>160</v>
      </c>
      <c r="E23" s="6" t="n">
        <v>1.5</v>
      </c>
      <c r="F23" s="6" t="s">
        <v>109</v>
      </c>
      <c r="G23" s="6" t="n">
        <v>0</v>
      </c>
      <c r="H23" s="6" t="n">
        <v>0</v>
      </c>
      <c r="I23" s="5" t="n">
        <f aca="false">IF(H23=1,"INF",E23+Parameters!$B$2*G23)</f>
        <v>1.5</v>
      </c>
      <c r="J23" s="5" t="n">
        <f aca="false">ROUND(SQRT((INDEX(Nodes!$D$2:$D$27,MATCH(C23,Nodes!$A$2:$A$27,0))-INDEX(Nodes!$D$2:$D$27,MATCH(B23,Nodes!$A$2:$A$27,0)))^2+(INDEX(Nodes!$E$2:$E$27,MATCH(C23,Nodes!$A$2:$A$27,0))-INDEX(Nodes!$E$2:$E$27,MATCH(B23,Nodes!$A$2:$A$27,0)))^2),2)</f>
        <v>1.45</v>
      </c>
      <c r="K23" s="5" t="str">
        <f aca="false">IF(J23&lt;=E23,"OK","CHECK")</f>
        <v>OK</v>
      </c>
      <c r="L23" s="5" t="s">
        <v>110</v>
      </c>
      <c r="M23" s="5" t="s">
        <v>161</v>
      </c>
      <c r="N23" s="5" t="s">
        <v>112</v>
      </c>
      <c r="O23" s="5"/>
    </row>
    <row r="24" customFormat="false" ht="15" hidden="false" customHeight="true" outlineLevel="0" collapsed="false">
      <c r="A24" s="5" t="s">
        <v>162</v>
      </c>
      <c r="B24" s="5" t="s">
        <v>78</v>
      </c>
      <c r="C24" s="5" t="s">
        <v>80</v>
      </c>
      <c r="D24" s="5" t="s">
        <v>163</v>
      </c>
      <c r="E24" s="6" t="n">
        <v>2</v>
      </c>
      <c r="F24" s="6" t="s">
        <v>109</v>
      </c>
      <c r="G24" s="6" t="n">
        <v>0</v>
      </c>
      <c r="H24" s="6" t="n">
        <v>0</v>
      </c>
      <c r="I24" s="5" t="n">
        <f aca="false">IF(H24=1,"INF",E24+Parameters!$B$2*G24)</f>
        <v>2</v>
      </c>
      <c r="J24" s="5" t="n">
        <f aca="false">ROUND(SQRT((INDEX(Nodes!$D$2:$D$27,MATCH(C24,Nodes!$A$2:$A$27,0))-INDEX(Nodes!$D$2:$D$27,MATCH(B24,Nodes!$A$2:$A$27,0)))^2+(INDEX(Nodes!$E$2:$E$27,MATCH(C24,Nodes!$A$2:$A$27,0))-INDEX(Nodes!$E$2:$E$27,MATCH(B24,Nodes!$A$2:$A$27,0)))^2),2)</f>
        <v>1.91</v>
      </c>
      <c r="K24" s="5" t="str">
        <f aca="false">IF(J24&lt;=E24,"OK","CHECK")</f>
        <v>OK</v>
      </c>
      <c r="L24" s="5" t="s">
        <v>110</v>
      </c>
      <c r="M24" s="5" t="s">
        <v>161</v>
      </c>
      <c r="N24" s="5" t="s">
        <v>112</v>
      </c>
      <c r="O24" s="5"/>
    </row>
    <row r="25" customFormat="false" ht="15" hidden="false" customHeight="true" outlineLevel="0" collapsed="false">
      <c r="A25" s="5" t="s">
        <v>164</v>
      </c>
      <c r="B25" s="5" t="s">
        <v>80</v>
      </c>
      <c r="C25" s="5" t="s">
        <v>57</v>
      </c>
      <c r="D25" s="5" t="s">
        <v>165</v>
      </c>
      <c r="E25" s="6" t="n">
        <v>1.5</v>
      </c>
      <c r="F25" s="6" t="s">
        <v>109</v>
      </c>
      <c r="G25" s="6" t="n">
        <v>0</v>
      </c>
      <c r="H25" s="6" t="n">
        <v>0</v>
      </c>
      <c r="I25" s="5" t="n">
        <f aca="false">IF(H25=1,"INF",E25+Parameters!$B$2*G25)</f>
        <v>1.5</v>
      </c>
      <c r="J25" s="5" t="n">
        <f aca="false">ROUND(SQRT((INDEX(Nodes!$D$2:$D$27,MATCH(C25,Nodes!$A$2:$A$27,0))-INDEX(Nodes!$D$2:$D$27,MATCH(B25,Nodes!$A$2:$A$27,0)))^2+(INDEX(Nodes!$E$2:$E$27,MATCH(C25,Nodes!$A$2:$A$27,0))-INDEX(Nodes!$E$2:$E$27,MATCH(B25,Nodes!$A$2:$A$27,0)))^2),2)</f>
        <v>0.5</v>
      </c>
      <c r="K25" s="5" t="str">
        <f aca="false">IF(J25&lt;=E25,"OK","CHECK")</f>
        <v>OK</v>
      </c>
      <c r="L25" s="5" t="s">
        <v>110</v>
      </c>
      <c r="M25" s="5" t="s">
        <v>166</v>
      </c>
      <c r="N25" s="5" t="s">
        <v>112</v>
      </c>
      <c r="O25" s="5"/>
    </row>
    <row r="26" customFormat="false" ht="26.25" hidden="false" customHeight="true" outlineLevel="0" collapsed="false">
      <c r="A26" s="5" t="s">
        <v>167</v>
      </c>
      <c r="B26" s="5" t="s">
        <v>70</v>
      </c>
      <c r="C26" s="5" t="s">
        <v>82</v>
      </c>
      <c r="D26" s="5" t="s">
        <v>168</v>
      </c>
      <c r="E26" s="6" t="n">
        <v>5.2</v>
      </c>
      <c r="F26" s="6" t="s">
        <v>109</v>
      </c>
      <c r="G26" s="6" t="n">
        <v>0</v>
      </c>
      <c r="H26" s="6" t="n">
        <v>0</v>
      </c>
      <c r="I26" s="5" t="n">
        <f aca="false">IF(H26=1,"INF",E26+Parameters!$B$2*G26)</f>
        <v>5.2</v>
      </c>
      <c r="J26" s="5" t="n">
        <f aca="false">ROUND(SQRT((INDEX(Nodes!$D$2:$D$27,MATCH(C26,Nodes!$A$2:$A$27,0))-INDEX(Nodes!$D$2:$D$27,MATCH(B26,Nodes!$A$2:$A$27,0)))^2+(INDEX(Nodes!$E$2:$E$27,MATCH(C26,Nodes!$A$2:$A$27,0))-INDEX(Nodes!$E$2:$E$27,MATCH(B26,Nodes!$A$2:$A$27,0)))^2),2)</f>
        <v>1.15</v>
      </c>
      <c r="K26" s="5" t="str">
        <f aca="false">IF(J26&lt;=E26,"OK","CHECK")</f>
        <v>OK</v>
      </c>
      <c r="L26" s="5" t="s">
        <v>110</v>
      </c>
      <c r="M26" s="5" t="s">
        <v>169</v>
      </c>
      <c r="N26" s="5" t="s">
        <v>112</v>
      </c>
      <c r="O26" s="5"/>
    </row>
    <row r="27" customFormat="false" ht="15" hidden="false" customHeight="true" outlineLevel="0" collapsed="false">
      <c r="A27" s="5" t="s">
        <v>170</v>
      </c>
      <c r="B27" s="5" t="s">
        <v>82</v>
      </c>
      <c r="C27" s="5" t="s">
        <v>84</v>
      </c>
      <c r="D27" s="5" t="s">
        <v>171</v>
      </c>
      <c r="E27" s="6" t="n">
        <v>2.6</v>
      </c>
      <c r="F27" s="6" t="s">
        <v>109</v>
      </c>
      <c r="G27" s="6" t="n">
        <v>0</v>
      </c>
      <c r="H27" s="6" t="n">
        <v>0</v>
      </c>
      <c r="I27" s="5" t="n">
        <f aca="false">IF(H27=1,"INF",E27+Parameters!$B$2*G27)</f>
        <v>2.6</v>
      </c>
      <c r="J27" s="5" t="n">
        <f aca="false">ROUND(SQRT((INDEX(Nodes!$D$2:$D$27,MATCH(C27,Nodes!$A$2:$A$27,0))-INDEX(Nodes!$D$2:$D$27,MATCH(B27,Nodes!$A$2:$A$27,0)))^2+(INDEX(Nodes!$E$2:$E$27,MATCH(C27,Nodes!$A$2:$A$27,0))-INDEX(Nodes!$E$2:$E$27,MATCH(B27,Nodes!$A$2:$A$27,0)))^2),2)</f>
        <v>2</v>
      </c>
      <c r="K27" s="5" t="str">
        <f aca="false">IF(J27&lt;=E27,"OK","CHECK")</f>
        <v>OK</v>
      </c>
      <c r="L27" s="5" t="s">
        <v>110</v>
      </c>
      <c r="M27" s="5" t="s">
        <v>169</v>
      </c>
      <c r="N27" s="5" t="s">
        <v>112</v>
      </c>
      <c r="O27" s="5"/>
    </row>
    <row r="28" customFormat="false" ht="15" hidden="false" customHeight="true" outlineLevel="0" collapsed="false">
      <c r="A28" s="5" t="s">
        <v>172</v>
      </c>
      <c r="B28" s="5" t="s">
        <v>84</v>
      </c>
      <c r="C28" s="5" t="s">
        <v>55</v>
      </c>
      <c r="D28" s="5" t="s">
        <v>173</v>
      </c>
      <c r="E28" s="6" t="n">
        <v>1.5</v>
      </c>
      <c r="F28" s="6" t="s">
        <v>109</v>
      </c>
      <c r="G28" s="6" t="n">
        <v>0</v>
      </c>
      <c r="H28" s="6" t="n">
        <v>0</v>
      </c>
      <c r="I28" s="5" t="n">
        <f aca="false">IF(H28=1,"INF",E28+Parameters!$B$2*G28)</f>
        <v>1.5</v>
      </c>
      <c r="J28" s="5" t="n">
        <f aca="false">ROUND(SQRT((INDEX(Nodes!$D$2:$D$27,MATCH(C28,Nodes!$A$2:$A$27,0))-INDEX(Nodes!$D$2:$D$27,MATCH(B28,Nodes!$A$2:$A$27,0)))^2+(INDEX(Nodes!$E$2:$E$27,MATCH(C28,Nodes!$A$2:$A$27,0))-INDEX(Nodes!$E$2:$E$27,MATCH(B28,Nodes!$A$2:$A$27,0)))^2),2)</f>
        <v>1.46</v>
      </c>
      <c r="K28" s="5" t="str">
        <f aca="false">IF(J28&lt;=E28,"OK","CHECK")</f>
        <v>OK</v>
      </c>
      <c r="L28" s="5" t="s">
        <v>110</v>
      </c>
      <c r="M28" s="5" t="s">
        <v>174</v>
      </c>
      <c r="N28" s="5" t="s">
        <v>112</v>
      </c>
      <c r="O28" s="5"/>
    </row>
    <row r="29" customFormat="false" ht="15" hidden="false" customHeight="true" outlineLevel="0" collapsed="false">
      <c r="A29" s="5" t="s">
        <v>175</v>
      </c>
      <c r="B29" s="5" t="s">
        <v>65</v>
      </c>
      <c r="C29" s="5" t="s">
        <v>86</v>
      </c>
      <c r="D29" s="5" t="s">
        <v>176</v>
      </c>
      <c r="E29" s="6" t="n">
        <v>1.2</v>
      </c>
      <c r="F29" s="6" t="s">
        <v>109</v>
      </c>
      <c r="G29" s="6" t="n">
        <v>0</v>
      </c>
      <c r="H29" s="6" t="n">
        <v>0</v>
      </c>
      <c r="I29" s="5" t="n">
        <f aca="false">IF(H29=1,"INF",E29+Parameters!$B$2*G29)</f>
        <v>1.2</v>
      </c>
      <c r="J29" s="5" t="n">
        <f aca="false">ROUND(SQRT((INDEX(Nodes!$D$2:$D$27,MATCH(C29,Nodes!$A$2:$A$27,0))-INDEX(Nodes!$D$2:$D$27,MATCH(B29,Nodes!$A$2:$A$27,0)))^2+(INDEX(Nodes!$E$2:$E$27,MATCH(C29,Nodes!$A$2:$A$27,0))-INDEX(Nodes!$E$2:$E$27,MATCH(B29,Nodes!$A$2:$A$27,0)))^2),2)</f>
        <v>1.15</v>
      </c>
      <c r="K29" s="5" t="str">
        <f aca="false">IF(J29&lt;=E29,"OK","CHECK")</f>
        <v>OK</v>
      </c>
      <c r="L29" s="5" t="s">
        <v>110</v>
      </c>
      <c r="M29" s="5" t="s">
        <v>177</v>
      </c>
      <c r="N29" s="5" t="s">
        <v>112</v>
      </c>
      <c r="O29" s="5"/>
    </row>
    <row r="30" customFormat="false" ht="15" hidden="false" customHeight="true" outlineLevel="0" collapsed="false">
      <c r="A30" s="5" t="s">
        <v>178</v>
      </c>
      <c r="B30" s="5" t="s">
        <v>86</v>
      </c>
      <c r="C30" s="5" t="s">
        <v>84</v>
      </c>
      <c r="D30" s="5" t="s">
        <v>179</v>
      </c>
      <c r="E30" s="6" t="n">
        <v>2.9</v>
      </c>
      <c r="F30" s="6" t="s">
        <v>109</v>
      </c>
      <c r="G30" s="6" t="n">
        <v>0</v>
      </c>
      <c r="H30" s="6" t="n">
        <v>0</v>
      </c>
      <c r="I30" s="5" t="n">
        <f aca="false">IF(H30=1,"INF",E30+Parameters!$B$2*G30)</f>
        <v>2.9</v>
      </c>
      <c r="J30" s="5" t="n">
        <f aca="false">ROUND(SQRT((INDEX(Nodes!$D$2:$D$27,MATCH(C30,Nodes!$A$2:$A$27,0))-INDEX(Nodes!$D$2:$D$27,MATCH(B30,Nodes!$A$2:$A$27,0)))^2+(INDEX(Nodes!$E$2:$E$27,MATCH(C30,Nodes!$A$2:$A$27,0))-INDEX(Nodes!$E$2:$E$27,MATCH(B30,Nodes!$A$2:$A$27,0)))^2),2)</f>
        <v>2.49</v>
      </c>
      <c r="K30" s="5" t="str">
        <f aca="false">IF(J30&lt;=E30,"OK","CHECK")</f>
        <v>OK</v>
      </c>
      <c r="L30" s="5" t="s">
        <v>110</v>
      </c>
      <c r="M30" s="5" t="s">
        <v>177</v>
      </c>
      <c r="N30" s="5" t="s">
        <v>112</v>
      </c>
      <c r="O30" s="5"/>
    </row>
    <row r="31" customFormat="false" ht="15" hidden="false" customHeight="true" outlineLevel="0" collapsed="false">
      <c r="A31" s="5" t="s">
        <v>180</v>
      </c>
      <c r="B31" s="5" t="s">
        <v>65</v>
      </c>
      <c r="C31" s="5" t="s">
        <v>88</v>
      </c>
      <c r="D31" s="5" t="s">
        <v>181</v>
      </c>
      <c r="E31" s="6" t="n">
        <v>1.1</v>
      </c>
      <c r="F31" s="6" t="s">
        <v>109</v>
      </c>
      <c r="G31" s="6" t="n">
        <v>0</v>
      </c>
      <c r="H31" s="6" t="n">
        <v>0</v>
      </c>
      <c r="I31" s="5" t="n">
        <f aca="false">IF(H31=1,"INF",E31+Parameters!$B$2*G31)</f>
        <v>1.1</v>
      </c>
      <c r="J31" s="5" t="n">
        <f aca="false">ROUND(SQRT((INDEX(Nodes!$D$2:$D$27,MATCH(C31,Nodes!$A$2:$A$27,0))-INDEX(Nodes!$D$2:$D$27,MATCH(B31,Nodes!$A$2:$A$27,0)))^2+(INDEX(Nodes!$E$2:$E$27,MATCH(C31,Nodes!$A$2:$A$27,0))-INDEX(Nodes!$E$2:$E$27,MATCH(B31,Nodes!$A$2:$A$27,0)))^2),2)</f>
        <v>1.01</v>
      </c>
      <c r="K31" s="5" t="str">
        <f aca="false">IF(J31&lt;=E31,"OK","CHECK")</f>
        <v>OK</v>
      </c>
      <c r="L31" s="5" t="s">
        <v>110</v>
      </c>
      <c r="M31" s="5" t="s">
        <v>182</v>
      </c>
      <c r="N31" s="5" t="s">
        <v>112</v>
      </c>
      <c r="O31" s="5"/>
    </row>
    <row r="32" customFormat="false" ht="26.25" hidden="false" customHeight="true" outlineLevel="0" collapsed="false">
      <c r="A32" s="5" t="s">
        <v>183</v>
      </c>
      <c r="B32" s="5" t="s">
        <v>88</v>
      </c>
      <c r="C32" s="5" t="s">
        <v>80</v>
      </c>
      <c r="D32" s="5" t="s">
        <v>184</v>
      </c>
      <c r="E32" s="6" t="n">
        <v>3.2</v>
      </c>
      <c r="F32" s="6" t="s">
        <v>109</v>
      </c>
      <c r="G32" s="6" t="n">
        <v>0</v>
      </c>
      <c r="H32" s="6" t="n">
        <v>0</v>
      </c>
      <c r="I32" s="5" t="n">
        <f aca="false">IF(H32=1,"INF",E32+Parameters!$B$2*G32)</f>
        <v>3.2</v>
      </c>
      <c r="J32" s="5" t="n">
        <f aca="false">ROUND(SQRT((INDEX(Nodes!$D$2:$D$27,MATCH(C32,Nodes!$A$2:$A$27,0))-INDEX(Nodes!$D$2:$D$27,MATCH(B32,Nodes!$A$2:$A$27,0)))^2+(INDEX(Nodes!$E$2:$E$27,MATCH(C32,Nodes!$A$2:$A$27,0))-INDEX(Nodes!$E$2:$E$27,MATCH(B32,Nodes!$A$2:$A$27,0)))^2),2)</f>
        <v>2.11</v>
      </c>
      <c r="K32" s="5" t="str">
        <f aca="false">IF(J32&lt;=E32,"OK","CHECK")</f>
        <v>OK</v>
      </c>
      <c r="L32" s="5" t="s">
        <v>110</v>
      </c>
      <c r="M32" s="5" t="s">
        <v>182</v>
      </c>
      <c r="N32" s="5" t="s">
        <v>112</v>
      </c>
      <c r="O32" s="5"/>
    </row>
    <row r="33" customFormat="false" ht="15" hidden="false" customHeight="true" outlineLevel="0" collapsed="false">
      <c r="A33" s="5" t="s">
        <v>185</v>
      </c>
      <c r="B33" s="5" t="s">
        <v>59</v>
      </c>
      <c r="C33" s="5" t="s">
        <v>90</v>
      </c>
      <c r="D33" s="5" t="s">
        <v>137</v>
      </c>
      <c r="E33" s="6" t="n">
        <v>0.3</v>
      </c>
      <c r="F33" s="6" t="s">
        <v>109</v>
      </c>
      <c r="G33" s="6" t="n">
        <v>0</v>
      </c>
      <c r="H33" s="6" t="n">
        <v>0</v>
      </c>
      <c r="I33" s="5" t="n">
        <f aca="false">IF(H33=1,"INF",E33+Parameters!$B$2*G33)</f>
        <v>0.3</v>
      </c>
      <c r="J33" s="5" t="n">
        <f aca="false">ROUND(SQRT((INDEX(Nodes!$D$2:$D$27,MATCH(C33,Nodes!$A$2:$A$27,0))-INDEX(Nodes!$D$2:$D$27,MATCH(B33,Nodes!$A$2:$A$27,0)))^2+(INDEX(Nodes!$E$2:$E$27,MATCH(C33,Nodes!$A$2:$A$27,0))-INDEX(Nodes!$E$2:$E$27,MATCH(B33,Nodes!$A$2:$A$27,0)))^2),2)</f>
        <v>0.3</v>
      </c>
      <c r="K33" s="5" t="str">
        <f aca="false">IF(J33&lt;=E33,"OK","CHECK")</f>
        <v>OK</v>
      </c>
      <c r="L33" s="5" t="s">
        <v>110</v>
      </c>
      <c r="M33" s="5" t="s">
        <v>186</v>
      </c>
      <c r="N33" s="5" t="s">
        <v>112</v>
      </c>
      <c r="O33" s="5"/>
    </row>
    <row r="34" customFormat="false" ht="15" hidden="false" customHeight="true" outlineLevel="0" collapsed="false">
      <c r="A34" s="5" t="s">
        <v>187</v>
      </c>
      <c r="B34" s="5" t="s">
        <v>63</v>
      </c>
      <c r="C34" s="5" t="s">
        <v>90</v>
      </c>
      <c r="D34" s="5" t="s">
        <v>188</v>
      </c>
      <c r="E34" s="6" t="n">
        <v>0.4</v>
      </c>
      <c r="F34" s="6" t="s">
        <v>109</v>
      </c>
      <c r="G34" s="6" t="n">
        <v>0</v>
      </c>
      <c r="H34" s="6" t="n">
        <v>0</v>
      </c>
      <c r="I34" s="5" t="n">
        <f aca="false">IF(H34=1,"INF",E34+Parameters!$B$2*G34)</f>
        <v>0.4</v>
      </c>
      <c r="J34" s="5" t="n">
        <f aca="false">ROUND(SQRT((INDEX(Nodes!$D$2:$D$27,MATCH(C34,Nodes!$A$2:$A$27,0))-INDEX(Nodes!$D$2:$D$27,MATCH(B34,Nodes!$A$2:$A$27,0)))^2+(INDEX(Nodes!$E$2:$E$27,MATCH(C34,Nodes!$A$2:$A$27,0))-INDEX(Nodes!$E$2:$E$27,MATCH(B34,Nodes!$A$2:$A$27,0)))^2),2)</f>
        <v>0.38</v>
      </c>
      <c r="K34" s="5" t="str">
        <f aca="false">IF(J34&lt;=E34,"OK","CHECK")</f>
        <v>OK</v>
      </c>
      <c r="L34" s="5" t="s">
        <v>110</v>
      </c>
      <c r="M34" s="5" t="s">
        <v>186</v>
      </c>
      <c r="N34" s="5" t="s">
        <v>112</v>
      </c>
      <c r="O34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3" min="3" style="1" width="42"/>
    <col collapsed="false" customWidth="true" hidden="false" outlineLevel="0" max="4" min="4" style="1" width="10"/>
    <col collapsed="false" customWidth="true" hidden="false" outlineLevel="0" max="5" min="5" style="1" width="40"/>
  </cols>
  <sheetData>
    <row r="1" customFormat="false" ht="15" hidden="false" customHeight="true" outlineLevel="0" collapsed="false">
      <c r="A1" s="4" t="s">
        <v>189</v>
      </c>
      <c r="B1" s="4" t="s">
        <v>190</v>
      </c>
      <c r="C1" s="4" t="s">
        <v>191</v>
      </c>
      <c r="D1" s="4" t="s">
        <v>192</v>
      </c>
      <c r="E1" s="4" t="s">
        <v>193</v>
      </c>
    </row>
    <row r="2" customFormat="false" ht="15" hidden="false" customHeight="true" outlineLevel="0" collapsed="false">
      <c r="A2" s="5" t="s">
        <v>194</v>
      </c>
      <c r="B2" s="5" t="s">
        <v>195</v>
      </c>
      <c r="C2" s="5" t="s">
        <v>196</v>
      </c>
      <c r="D2" s="5" t="n">
        <v>31</v>
      </c>
      <c r="E2" s="5" t="s">
        <v>197</v>
      </c>
    </row>
    <row r="3" customFormat="false" ht="15" hidden="false" customHeight="true" outlineLevel="0" collapsed="false">
      <c r="A3" s="5" t="s">
        <v>194</v>
      </c>
      <c r="B3" s="5" t="s">
        <v>198</v>
      </c>
      <c r="C3" s="5" t="s">
        <v>199</v>
      </c>
      <c r="D3" s="5" t="n">
        <v>35</v>
      </c>
      <c r="E3" s="5" t="s">
        <v>107</v>
      </c>
    </row>
    <row r="4" customFormat="false" ht="15" hidden="false" customHeight="true" outlineLevel="0" collapsed="false">
      <c r="A4" s="5" t="s">
        <v>194</v>
      </c>
      <c r="B4" s="5" t="s">
        <v>198</v>
      </c>
      <c r="C4" s="5" t="s">
        <v>200</v>
      </c>
      <c r="D4" s="5" t="n">
        <v>25</v>
      </c>
      <c r="E4" s="5" t="s">
        <v>107</v>
      </c>
    </row>
    <row r="5" customFormat="false" ht="15" hidden="false" customHeight="true" outlineLevel="0" collapsed="false">
      <c r="A5" s="5" t="s">
        <v>194</v>
      </c>
      <c r="B5" s="5" t="s">
        <v>198</v>
      </c>
      <c r="C5" s="5" t="s">
        <v>201</v>
      </c>
      <c r="D5" s="5" t="n">
        <v>700</v>
      </c>
      <c r="E5" s="5" t="s">
        <v>107</v>
      </c>
    </row>
    <row r="6" customFormat="false" ht="26.25" hidden="false" customHeight="true" outlineLevel="0" collapsed="false">
      <c r="A6" s="5" t="s">
        <v>194</v>
      </c>
      <c r="B6" s="5" t="s">
        <v>198</v>
      </c>
      <c r="C6" s="5" t="s">
        <v>202</v>
      </c>
      <c r="D6" s="5" t="n">
        <v>600</v>
      </c>
      <c r="E6" s="5" t="s">
        <v>203</v>
      </c>
    </row>
    <row r="7" customFormat="false" ht="15" hidden="false" customHeight="true" outlineLevel="0" collapsed="false">
      <c r="A7" s="5" t="s">
        <v>194</v>
      </c>
      <c r="B7" s="5" t="s">
        <v>198</v>
      </c>
      <c r="C7" s="5" t="s">
        <v>204</v>
      </c>
      <c r="D7" s="5" t="n">
        <v>270</v>
      </c>
      <c r="E7" s="5" t="s">
        <v>205</v>
      </c>
    </row>
    <row r="8" customFormat="false" ht="26.25" hidden="false" customHeight="true" outlineLevel="0" collapsed="false">
      <c r="A8" s="5" t="s">
        <v>194</v>
      </c>
      <c r="B8" s="5" t="s">
        <v>198</v>
      </c>
      <c r="C8" s="5" t="s">
        <v>206</v>
      </c>
      <c r="D8" s="5" t="n">
        <v>2200</v>
      </c>
      <c r="E8" s="5" t="s">
        <v>207</v>
      </c>
    </row>
    <row r="9" customFormat="false" ht="15" hidden="false" customHeight="true" outlineLevel="0" collapsed="false">
      <c r="A9" s="5" t="s">
        <v>194</v>
      </c>
      <c r="B9" s="5" t="s">
        <v>198</v>
      </c>
      <c r="C9" s="5" t="s">
        <v>208</v>
      </c>
      <c r="D9" s="5" t="n">
        <v>500</v>
      </c>
      <c r="E9" s="5" t="s">
        <v>209</v>
      </c>
    </row>
    <row r="10" customFormat="false" ht="15" hidden="false" customHeight="true" outlineLevel="0" collapsed="false">
      <c r="A10" s="5" t="s">
        <v>210</v>
      </c>
      <c r="B10" s="5" t="s">
        <v>211</v>
      </c>
      <c r="C10" s="5" t="s">
        <v>212</v>
      </c>
      <c r="D10" s="5" t="n">
        <v>250</v>
      </c>
      <c r="E10" s="5" t="s">
        <v>213</v>
      </c>
    </row>
    <row r="11" customFormat="false" ht="26.25" hidden="false" customHeight="true" outlineLevel="0" collapsed="false">
      <c r="A11" s="5" t="s">
        <v>210</v>
      </c>
      <c r="B11" s="5" t="s">
        <v>214</v>
      </c>
      <c r="C11" s="5" t="s">
        <v>215</v>
      </c>
      <c r="D11" s="5" t="n">
        <v>850</v>
      </c>
      <c r="E11" s="5" t="s">
        <v>216</v>
      </c>
    </row>
    <row r="12" customFormat="false" ht="15" hidden="false" customHeight="true" outlineLevel="0" collapsed="false">
      <c r="A12" s="5" t="s">
        <v>210</v>
      </c>
      <c r="B12" s="5" t="s">
        <v>214</v>
      </c>
      <c r="C12" s="5" t="s">
        <v>217</v>
      </c>
      <c r="D12" s="5" t="n">
        <v>650</v>
      </c>
      <c r="E12" s="5" t="s">
        <v>218</v>
      </c>
    </row>
    <row r="13" customFormat="false" ht="15" hidden="false" customHeight="true" outlineLevel="0" collapsed="false">
      <c r="A13" s="5" t="s">
        <v>210</v>
      </c>
      <c r="B13" s="5" t="s">
        <v>214</v>
      </c>
      <c r="C13" s="5" t="s">
        <v>219</v>
      </c>
      <c r="D13" s="5" t="n">
        <v>230</v>
      </c>
      <c r="E13" s="5" t="s">
        <v>147</v>
      </c>
    </row>
    <row r="14" customFormat="false" ht="15" hidden="false" customHeight="true" outlineLevel="0" collapsed="false">
      <c r="A14" s="5" t="s">
        <v>210</v>
      </c>
      <c r="B14" s="5" t="s">
        <v>214</v>
      </c>
      <c r="C14" s="5" t="s">
        <v>220</v>
      </c>
      <c r="D14" s="5" t="n">
        <v>2400</v>
      </c>
      <c r="E14" s="5" t="s">
        <v>221</v>
      </c>
    </row>
    <row r="15" customFormat="false" ht="15" hidden="false" customHeight="true" outlineLevel="0" collapsed="false">
      <c r="A15" s="5" t="s">
        <v>210</v>
      </c>
      <c r="B15" s="5" t="s">
        <v>214</v>
      </c>
      <c r="C15" s="5" t="s">
        <v>208</v>
      </c>
      <c r="D15" s="5" t="n">
        <v>500</v>
      </c>
      <c r="E15" s="5" t="s">
        <v>153</v>
      </c>
    </row>
    <row r="16" customFormat="false" ht="15" hidden="false" customHeight="true" outlineLevel="0" collapsed="false">
      <c r="A16" s="5" t="s">
        <v>222</v>
      </c>
      <c r="B16" s="5" t="s">
        <v>223</v>
      </c>
      <c r="C16" s="5" t="s">
        <v>212</v>
      </c>
      <c r="D16" s="5" t="n">
        <v>250</v>
      </c>
      <c r="E16" s="5" t="s">
        <v>213</v>
      </c>
    </row>
    <row r="17" customFormat="false" ht="26.25" hidden="false" customHeight="true" outlineLevel="0" collapsed="false">
      <c r="A17" s="5" t="s">
        <v>222</v>
      </c>
      <c r="B17" s="5" t="s">
        <v>224</v>
      </c>
      <c r="C17" s="5" t="s">
        <v>215</v>
      </c>
      <c r="D17" s="5" t="n">
        <v>450</v>
      </c>
      <c r="E17" s="5" t="s">
        <v>225</v>
      </c>
    </row>
    <row r="18" customFormat="false" ht="15" hidden="false" customHeight="true" outlineLevel="0" collapsed="false">
      <c r="A18" s="5" t="s">
        <v>222</v>
      </c>
      <c r="B18" s="5" t="s">
        <v>224</v>
      </c>
      <c r="C18" s="5" t="s">
        <v>226</v>
      </c>
      <c r="D18" s="5" t="n">
        <v>300</v>
      </c>
      <c r="E18" s="5" t="s">
        <v>227</v>
      </c>
    </row>
    <row r="19" customFormat="false" ht="15" hidden="false" customHeight="true" outlineLevel="0" collapsed="false">
      <c r="A19" s="5" t="s">
        <v>222</v>
      </c>
      <c r="B19" s="5" t="s">
        <v>224</v>
      </c>
      <c r="C19" s="5" t="s">
        <v>228</v>
      </c>
      <c r="D19" s="5" t="n">
        <v>400</v>
      </c>
      <c r="E19" s="5" t="s">
        <v>229</v>
      </c>
    </row>
    <row r="20" customFormat="false" ht="26.25" hidden="false" customHeight="true" outlineLevel="0" collapsed="false">
      <c r="A20" s="5" t="s">
        <v>222</v>
      </c>
      <c r="B20" s="5" t="s">
        <v>224</v>
      </c>
      <c r="C20" s="5" t="s">
        <v>217</v>
      </c>
      <c r="D20" s="5" t="n">
        <v>350</v>
      </c>
      <c r="E20" s="5" t="s">
        <v>230</v>
      </c>
    </row>
    <row r="21" customFormat="false" ht="15" hidden="false" customHeight="true" outlineLevel="0" collapsed="false">
      <c r="A21" s="5" t="s">
        <v>222</v>
      </c>
      <c r="B21" s="5" t="s">
        <v>224</v>
      </c>
      <c r="C21" s="5" t="s">
        <v>219</v>
      </c>
      <c r="D21" s="5" t="n">
        <v>250</v>
      </c>
      <c r="E21" s="5" t="s">
        <v>231</v>
      </c>
    </row>
    <row r="22" customFormat="false" ht="15" hidden="false" customHeight="true" outlineLevel="0" collapsed="false">
      <c r="A22" s="5" t="s">
        <v>222</v>
      </c>
      <c r="B22" s="5" t="s">
        <v>224</v>
      </c>
      <c r="C22" s="5" t="s">
        <v>232</v>
      </c>
      <c r="D22" s="5" t="n">
        <v>1490</v>
      </c>
      <c r="E22" s="5" t="s">
        <v>233</v>
      </c>
    </row>
    <row r="24" customFormat="false" ht="165.75" hidden="false" customHeight="true" outlineLevel="0" collapsed="false">
      <c r="A24" s="5" t="s">
        <v>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0"/>
    <col collapsed="false" customWidth="true" hidden="false" outlineLevel="0" max="3" min="3" style="1" width="52"/>
    <col collapsed="false" customWidth="true" hidden="false" outlineLevel="0" max="13" min="4" style="1" width="7"/>
    <col collapsed="false" customWidth="true" hidden="false" outlineLevel="0" max="15" min="14" style="1" width="10"/>
    <col collapsed="false" customWidth="true" hidden="false" outlineLevel="0" max="17" min="16" style="1" width="12"/>
    <col collapsed="false" customWidth="true" hidden="false" outlineLevel="0" max="18" min="18" style="1" width="22"/>
  </cols>
  <sheetData>
    <row r="1" customFormat="false" ht="26.25" hidden="false" customHeight="true" outlineLevel="0" collapsed="false">
      <c r="A1" s="4" t="s">
        <v>190</v>
      </c>
      <c r="B1" s="4" t="s">
        <v>235</v>
      </c>
      <c r="C1" s="4" t="s">
        <v>236</v>
      </c>
      <c r="D1" s="4" t="s">
        <v>237</v>
      </c>
      <c r="E1" s="4" t="s">
        <v>238</v>
      </c>
      <c r="F1" s="4" t="s">
        <v>239</v>
      </c>
      <c r="G1" s="4" t="s">
        <v>240</v>
      </c>
      <c r="H1" s="4" t="s">
        <v>241</v>
      </c>
      <c r="I1" s="4" t="s">
        <v>242</v>
      </c>
      <c r="J1" s="4" t="s">
        <v>243</v>
      </c>
      <c r="K1" s="4" t="s">
        <v>244</v>
      </c>
      <c r="L1" s="4" t="s">
        <v>245</v>
      </c>
      <c r="M1" s="4" t="s">
        <v>246</v>
      </c>
      <c r="N1" s="4" t="s">
        <v>247</v>
      </c>
      <c r="O1" s="4" t="s">
        <v>248</v>
      </c>
      <c r="P1" s="4" t="s">
        <v>249</v>
      </c>
      <c r="Q1" s="4" t="s">
        <v>250</v>
      </c>
      <c r="R1" s="4" t="s">
        <v>251</v>
      </c>
    </row>
    <row r="2" customFormat="false" ht="26.25" hidden="false" customHeight="true" outlineLevel="0" collapsed="false">
      <c r="A2" s="5" t="s">
        <v>252</v>
      </c>
      <c r="B2" s="6" t="n">
        <v>9.5</v>
      </c>
      <c r="C2" s="5" t="s">
        <v>253</v>
      </c>
      <c r="D2" s="5" t="s">
        <v>107</v>
      </c>
      <c r="E2" s="5" t="s">
        <v>113</v>
      </c>
      <c r="F2" s="5" t="s">
        <v>116</v>
      </c>
      <c r="G2" s="5" t="s">
        <v>118</v>
      </c>
      <c r="H2" s="5" t="s">
        <v>120</v>
      </c>
      <c r="I2" s="5" t="s">
        <v>122</v>
      </c>
      <c r="J2" s="5" t="s">
        <v>124</v>
      </c>
      <c r="K2" s="5" t="s">
        <v>126</v>
      </c>
      <c r="L2" s="5" t="s">
        <v>128</v>
      </c>
      <c r="M2" s="5" t="s">
        <v>130</v>
      </c>
      <c r="N2" s="6" t="n">
        <v>0</v>
      </c>
      <c r="O2" s="5" t="n">
        <f aca="false">SUMPRODUCT(SUMIF(Edges!$A$2:$A$34,D2:M2,Edges!$E$2:$E$34))+N2</f>
        <v>9.45</v>
      </c>
      <c r="P2" s="5" t="n">
        <f aca="false">ROUND(O2-B2,2)</f>
        <v>-0.05</v>
      </c>
      <c r="Q2" s="5" t="str">
        <f aca="false">IF(ABS(P2)&lt;=0.3,"OK","CHECK")</f>
        <v>OK</v>
      </c>
      <c r="R2" s="5" t="s">
        <v>254</v>
      </c>
    </row>
    <row r="3" customFormat="false" ht="15" hidden="false" customHeight="true" outlineLevel="0" collapsed="false">
      <c r="A3" s="5" t="s">
        <v>255</v>
      </c>
      <c r="B3" s="6" t="n">
        <v>4.2</v>
      </c>
      <c r="C3" s="5" t="s">
        <v>256</v>
      </c>
      <c r="D3" s="5" t="s">
        <v>107</v>
      </c>
      <c r="E3" s="5" t="s">
        <v>113</v>
      </c>
      <c r="F3" s="5" t="s">
        <v>133</v>
      </c>
      <c r="G3" s="5" t="s">
        <v>139</v>
      </c>
      <c r="H3" s="5" t="s">
        <v>141</v>
      </c>
      <c r="I3" s="5" t="s">
        <v>144</v>
      </c>
      <c r="N3" s="6" t="n">
        <v>0</v>
      </c>
      <c r="O3" s="5" t="n">
        <f aca="false">SUMPRODUCT(SUMIF(Edges!$A$2:$A$34,D3:M3,Edges!$E$2:$E$34))+N3</f>
        <v>4.2</v>
      </c>
      <c r="P3" s="5" t="n">
        <f aca="false">ROUND(O3-B3,2)</f>
        <v>0</v>
      </c>
      <c r="Q3" s="5" t="str">
        <f aca="false">IF(ABS(P3)&lt;=0.3,"OK","CHECK")</f>
        <v>OK</v>
      </c>
      <c r="R3" s="5" t="s">
        <v>254</v>
      </c>
    </row>
    <row r="4" customFormat="false" ht="15" hidden="false" customHeight="true" outlineLevel="0" collapsed="false">
      <c r="A4" s="5" t="s">
        <v>257</v>
      </c>
      <c r="B4" s="6" t="n">
        <v>4.4</v>
      </c>
      <c r="C4" s="5" t="s">
        <v>258</v>
      </c>
      <c r="D4" s="5" t="s">
        <v>107</v>
      </c>
      <c r="E4" s="5" t="s">
        <v>147</v>
      </c>
      <c r="F4" s="5" t="s">
        <v>150</v>
      </c>
      <c r="G4" s="5" t="s">
        <v>151</v>
      </c>
      <c r="H4" s="5" t="s">
        <v>153</v>
      </c>
      <c r="N4" s="6" t="n">
        <v>0</v>
      </c>
      <c r="O4" s="5" t="n">
        <f aca="false">SUMPRODUCT(SUMIF(Edges!$A$2:$A$34,D4:M4,Edges!$E$2:$E$34))+N4</f>
        <v>4.4</v>
      </c>
      <c r="P4" s="5" t="n">
        <f aca="false">ROUND(O4-B4,2)</f>
        <v>0</v>
      </c>
      <c r="Q4" s="5" t="str">
        <f aca="false">IF(ABS(P4)&lt;=0.3,"OK","CHECK")</f>
        <v>OK</v>
      </c>
      <c r="R4" s="5" t="s">
        <v>259</v>
      </c>
    </row>
    <row r="5" customFormat="false" ht="15" hidden="false" customHeight="true" outlineLevel="0" collapsed="false">
      <c r="A5" s="5" t="s">
        <v>260</v>
      </c>
      <c r="B5" s="6" t="n">
        <v>4.2</v>
      </c>
      <c r="C5" s="5" t="s">
        <v>261</v>
      </c>
      <c r="D5" s="5" t="s">
        <v>153</v>
      </c>
      <c r="E5" s="5" t="s">
        <v>151</v>
      </c>
      <c r="F5" s="5" t="s">
        <v>154</v>
      </c>
      <c r="G5" s="5" t="s">
        <v>157</v>
      </c>
      <c r="H5" s="5" t="s">
        <v>141</v>
      </c>
      <c r="I5" s="5" t="s">
        <v>144</v>
      </c>
      <c r="N5" s="6" t="n">
        <v>0</v>
      </c>
      <c r="O5" s="5" t="n">
        <f aca="false">SUMPRODUCT(SUMIF(Edges!$A$2:$A$34,D5:M5,Edges!$E$2:$E$34))+N5</f>
        <v>4.2</v>
      </c>
      <c r="P5" s="5" t="n">
        <f aca="false">ROUND(O5-B5,2)</f>
        <v>0</v>
      </c>
      <c r="Q5" s="5" t="str">
        <f aca="false">IF(ABS(P5)&lt;=0.3,"OK","CHECK")</f>
        <v>OK</v>
      </c>
      <c r="R5" s="5" t="s">
        <v>254</v>
      </c>
    </row>
    <row r="6" customFormat="false" ht="15" hidden="false" customHeight="true" outlineLevel="0" collapsed="false">
      <c r="A6" s="5" t="s">
        <v>262</v>
      </c>
      <c r="B6" s="6" t="n">
        <v>8.6</v>
      </c>
      <c r="C6" s="5" t="s">
        <v>263</v>
      </c>
      <c r="D6" s="5" t="s">
        <v>153</v>
      </c>
      <c r="E6" s="5" t="s">
        <v>151</v>
      </c>
      <c r="F6" s="5" t="s">
        <v>154</v>
      </c>
      <c r="G6" s="5" t="s">
        <v>157</v>
      </c>
      <c r="H6" s="5" t="s">
        <v>159</v>
      </c>
      <c r="I6" s="5" t="s">
        <v>162</v>
      </c>
      <c r="J6" s="5" t="s">
        <v>164</v>
      </c>
      <c r="N6" s="6" t="n">
        <v>0</v>
      </c>
      <c r="O6" s="5" t="n">
        <f aca="false">SUMPRODUCT(SUMIF(Edges!$A$2:$A$34,D6:M6,Edges!$E$2:$E$34))+N6</f>
        <v>8.7</v>
      </c>
      <c r="P6" s="5" t="n">
        <f aca="false">ROUND(O6-B6,2)</f>
        <v>0.1</v>
      </c>
      <c r="Q6" s="5" t="str">
        <f aca="false">IF(ABS(P6)&lt;=0.3,"OK","CHECK")</f>
        <v>OK</v>
      </c>
      <c r="R6" s="5" t="s">
        <v>254</v>
      </c>
    </row>
    <row r="7" customFormat="false" ht="26.25" hidden="false" customHeight="true" outlineLevel="0" collapsed="false">
      <c r="A7" s="5" t="s">
        <v>264</v>
      </c>
      <c r="B7" s="6" t="n">
        <v>10.7</v>
      </c>
      <c r="C7" s="5" t="s">
        <v>265</v>
      </c>
      <c r="D7" s="5" t="s">
        <v>153</v>
      </c>
      <c r="E7" s="5" t="s">
        <v>167</v>
      </c>
      <c r="F7" s="5" t="s">
        <v>170</v>
      </c>
      <c r="G7" s="5" t="s">
        <v>172</v>
      </c>
      <c r="H7" s="5" t="s">
        <v>130</v>
      </c>
      <c r="N7" s="6" t="n">
        <v>0</v>
      </c>
      <c r="O7" s="5" t="n">
        <f aca="false">SUMPRODUCT(SUMIF(Edges!$A$2:$A$34,D7:M7,Edges!$E$2:$E$34))+N7</f>
        <v>10.7</v>
      </c>
      <c r="P7" s="5" t="n">
        <f aca="false">ROUND(O7-B7,2)</f>
        <v>0</v>
      </c>
      <c r="Q7" s="5" t="str">
        <f aca="false">IF(ABS(P7)&lt;=0.3,"OK","CHECK")</f>
        <v>OK</v>
      </c>
      <c r="R7" s="5" t="s">
        <v>254</v>
      </c>
    </row>
    <row r="8" customFormat="false" ht="26.25" hidden="false" customHeight="true" outlineLevel="0" collapsed="false">
      <c r="A8" s="5" t="s">
        <v>266</v>
      </c>
      <c r="B8" s="6" t="n">
        <v>6.5</v>
      </c>
      <c r="C8" s="5" t="s">
        <v>267</v>
      </c>
      <c r="D8" s="5" t="s">
        <v>175</v>
      </c>
      <c r="E8" s="5" t="s">
        <v>178</v>
      </c>
      <c r="F8" s="5" t="s">
        <v>172</v>
      </c>
      <c r="G8" s="5" t="s">
        <v>130</v>
      </c>
      <c r="N8" s="6" t="n">
        <v>0</v>
      </c>
      <c r="O8" s="5" t="n">
        <f aca="false">SUMPRODUCT(SUMIF(Edges!$A$2:$A$34,D8:M8,Edges!$E$2:$E$34))+N8</f>
        <v>6.5</v>
      </c>
      <c r="P8" s="5" t="n">
        <f aca="false">ROUND(O8-B8,2)</f>
        <v>0</v>
      </c>
      <c r="Q8" s="5" t="str">
        <f aca="false">IF(ABS(P8)&lt;=0.3,"OK","CHECK")</f>
        <v>OK</v>
      </c>
      <c r="R8" s="5" t="s">
        <v>254</v>
      </c>
    </row>
    <row r="9" customFormat="false" ht="26.25" hidden="false" customHeight="true" outlineLevel="0" collapsed="false">
      <c r="A9" s="5" t="s">
        <v>268</v>
      </c>
      <c r="B9" s="6" t="n">
        <v>5.8</v>
      </c>
      <c r="C9" s="5" t="s">
        <v>269</v>
      </c>
      <c r="D9" s="5" t="s">
        <v>180</v>
      </c>
      <c r="E9" s="5" t="s">
        <v>183</v>
      </c>
      <c r="F9" s="5" t="s">
        <v>164</v>
      </c>
      <c r="N9" s="6" t="n">
        <v>0</v>
      </c>
      <c r="O9" s="5" t="n">
        <f aca="false">SUMPRODUCT(SUMIF(Edges!$A$2:$A$34,D9:M9,Edges!$E$2:$E$34))+N9</f>
        <v>5.8</v>
      </c>
      <c r="P9" s="5" t="n">
        <f aca="false">ROUND(O9-B9,2)</f>
        <v>0</v>
      </c>
      <c r="Q9" s="5" t="str">
        <f aca="false">IF(ABS(P9)&lt;=0.3,"OK","CHECK")</f>
        <v>OK</v>
      </c>
      <c r="R9" s="5" t="s">
        <v>254</v>
      </c>
    </row>
    <row r="10" customFormat="false" ht="15" hidden="false" customHeight="true" outlineLevel="0" collapsed="false">
      <c r="A10" s="5" t="s">
        <v>270</v>
      </c>
      <c r="B10" s="6" t="n">
        <v>4.9</v>
      </c>
      <c r="C10" s="5" t="s">
        <v>271</v>
      </c>
      <c r="D10" s="5" t="s">
        <v>144</v>
      </c>
      <c r="E10" s="5" t="s">
        <v>187</v>
      </c>
      <c r="F10" s="5" t="s">
        <v>185</v>
      </c>
      <c r="G10" s="5" t="s">
        <v>136</v>
      </c>
      <c r="H10" s="5" t="s">
        <v>147</v>
      </c>
      <c r="I10" s="5" t="s">
        <v>150</v>
      </c>
      <c r="J10" s="5" t="s">
        <v>151</v>
      </c>
      <c r="K10" s="5" t="s">
        <v>153</v>
      </c>
      <c r="N10" s="6" t="n">
        <v>0.5</v>
      </c>
      <c r="O10" s="5" t="n">
        <f aca="false">SUMPRODUCT(SUMIF(Edges!$A$2:$A$34,D10:M10,Edges!$E$2:$E$34))+N10</f>
        <v>5</v>
      </c>
      <c r="P10" s="5" t="n">
        <f aca="false">ROUND(O10-B10,2)</f>
        <v>0.1</v>
      </c>
      <c r="Q10" s="5" t="str">
        <f aca="false">IF(ABS(P10)&lt;=0.3,"OK","CHECK")</f>
        <v>OK</v>
      </c>
      <c r="R10" s="5" t="s">
        <v>272</v>
      </c>
    </row>
    <row r="11" customFormat="false" ht="15" hidden="false" customHeight="true" outlineLevel="0" collapsed="false">
      <c r="A11" s="5" t="s">
        <v>273</v>
      </c>
      <c r="B11" s="6" t="n">
        <v>3.5</v>
      </c>
      <c r="C11" s="5" t="s">
        <v>274</v>
      </c>
      <c r="D11" s="5" t="s">
        <v>144</v>
      </c>
      <c r="E11" s="5" t="s">
        <v>141</v>
      </c>
      <c r="F11" s="5" t="s">
        <v>139</v>
      </c>
      <c r="G11" s="5" t="s">
        <v>136</v>
      </c>
      <c r="H11" s="5" t="s">
        <v>107</v>
      </c>
      <c r="N11" s="6" t="n">
        <v>0.5</v>
      </c>
      <c r="O11" s="5" t="n">
        <f aca="false">SUMPRODUCT(SUMIF(Edges!$A$2:$A$34,D11:M11,Edges!$E$2:$E$34))+N11</f>
        <v>3.4</v>
      </c>
      <c r="P11" s="5" t="n">
        <f aca="false">ROUND(O11-B11,2)</f>
        <v>-0.1</v>
      </c>
      <c r="Q11" s="5" t="str">
        <f aca="false">IF(ABS(P11)&lt;=0.3,"OK","CHECK")</f>
        <v>OK</v>
      </c>
      <c r="R11" s="5" t="s">
        <v>275</v>
      </c>
    </row>
    <row r="13" customFormat="false" ht="15" hidden="false" customHeight="true" outlineLevel="0" collapsed="false">
      <c r="A13" s="7" t="s">
        <v>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52"/>
    <col collapsed="false" customWidth="true" hidden="false" outlineLevel="0" max="3" min="3" style="1" width="60"/>
    <col collapsed="false" customWidth="true" hidden="false" outlineLevel="0" max="4" min="4" style="1" width="22"/>
  </cols>
  <sheetData>
    <row r="1" customFormat="false" ht="15" hidden="false" customHeight="true" outlineLevel="0" collapsed="false">
      <c r="A1" s="4" t="s">
        <v>277</v>
      </c>
      <c r="B1" s="4" t="s">
        <v>278</v>
      </c>
      <c r="C1" s="4" t="s">
        <v>279</v>
      </c>
      <c r="D1" s="4" t="s">
        <v>280</v>
      </c>
    </row>
    <row r="2" customFormat="false" ht="26.25" hidden="false" customHeight="true" outlineLevel="0" collapsed="false">
      <c r="A2" s="5" t="s">
        <v>281</v>
      </c>
      <c r="B2" s="5" t="s">
        <v>282</v>
      </c>
      <c r="C2" s="5" t="s">
        <v>283</v>
      </c>
      <c r="D2" s="5" t="s">
        <v>284</v>
      </c>
    </row>
    <row r="3" customFormat="false" ht="15" hidden="false" customHeight="true" outlineLevel="0" collapsed="false">
      <c r="A3" s="5" t="s">
        <v>281</v>
      </c>
      <c r="B3" s="5" t="s">
        <v>285</v>
      </c>
      <c r="C3" s="5" t="s">
        <v>286</v>
      </c>
      <c r="D3" s="5" t="s">
        <v>284</v>
      </c>
    </row>
    <row r="4" customFormat="false" ht="15" hidden="false" customHeight="true" outlineLevel="0" collapsed="false">
      <c r="A4" s="5" t="s">
        <v>287</v>
      </c>
      <c r="B4" s="5" t="s">
        <v>288</v>
      </c>
      <c r="C4" s="5" t="s">
        <v>289</v>
      </c>
      <c r="D4" s="5" t="s">
        <v>290</v>
      </c>
    </row>
    <row r="5" customFormat="false" ht="15" hidden="false" customHeight="true" outlineLevel="0" collapsed="false">
      <c r="A5" s="5" t="s">
        <v>291</v>
      </c>
      <c r="B5" s="5" t="s">
        <v>292</v>
      </c>
      <c r="C5" s="5" t="s">
        <v>293</v>
      </c>
      <c r="D5" s="5" t="s">
        <v>294</v>
      </c>
    </row>
    <row r="7" customFormat="false" ht="15" hidden="false" customHeight="true" outlineLevel="0" collapsed="false">
      <c r="A7" s="7" t="s">
        <v>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0"/>
    <col collapsed="false" customWidth="true" hidden="false" outlineLevel="0" max="4" min="3" style="1" width="7"/>
    <col collapsed="false" customWidth="true" hidden="false" outlineLevel="0" max="5" min="5" style="1" width="20"/>
    <col collapsed="false" customWidth="true" hidden="false" outlineLevel="0" max="6" min="6" style="1" width="46"/>
    <col collapsed="false" customWidth="true" hidden="false" outlineLevel="0" max="7" min="7" style="1" width="16"/>
    <col collapsed="false" customWidth="true" hidden="false" outlineLevel="0" max="8" min="8" style="1" width="46"/>
    <col collapsed="false" customWidth="true" hidden="false" outlineLevel="0" max="9" min="9" style="1" width="11"/>
    <col collapsed="false" customWidth="true" hidden="false" outlineLevel="0" max="10" min="10" style="1" width="46"/>
    <col collapsed="false" customWidth="true" hidden="false" outlineLevel="0" max="11" min="11" style="1" width="11"/>
    <col collapsed="false" customWidth="true" hidden="false" outlineLevel="0" max="12" min="12" style="1" width="10"/>
  </cols>
  <sheetData>
    <row r="1" customFormat="false" ht="39" hidden="false" customHeight="true" outlineLevel="0" collapsed="false">
      <c r="A1" s="4" t="s">
        <v>296</v>
      </c>
      <c r="B1" s="4" t="s">
        <v>297</v>
      </c>
      <c r="C1" s="4" t="s">
        <v>298</v>
      </c>
      <c r="D1" s="4" t="s">
        <v>299</v>
      </c>
      <c r="E1" s="4" t="s">
        <v>97</v>
      </c>
      <c r="F1" s="4" t="s">
        <v>300</v>
      </c>
      <c r="G1" s="4" t="s">
        <v>301</v>
      </c>
      <c r="H1" s="4" t="s">
        <v>302</v>
      </c>
      <c r="I1" s="4" t="s">
        <v>303</v>
      </c>
      <c r="J1" s="4" t="s">
        <v>304</v>
      </c>
      <c r="K1" s="4" t="s">
        <v>305</v>
      </c>
      <c r="L1" s="4" t="s">
        <v>306</v>
      </c>
    </row>
    <row r="2" customFormat="false" ht="15" hidden="false" customHeight="true" outlineLevel="0" collapsed="false">
      <c r="A2" s="5" t="n">
        <v>1</v>
      </c>
      <c r="B2" s="5" t="s">
        <v>307</v>
      </c>
      <c r="C2" s="6" t="s">
        <v>36</v>
      </c>
      <c r="D2" s="6" t="s">
        <v>57</v>
      </c>
      <c r="E2" s="5" t="s">
        <v>308</v>
      </c>
      <c r="F2" s="6" t="s">
        <v>308</v>
      </c>
      <c r="G2" s="6" t="s">
        <v>308</v>
      </c>
      <c r="H2" s="5" t="s">
        <v>309</v>
      </c>
      <c r="I2" s="5" t="n">
        <v>7.15</v>
      </c>
      <c r="J2" s="5" t="s">
        <v>309</v>
      </c>
      <c r="K2" s="5" t="n">
        <v>7.15</v>
      </c>
      <c r="L2" s="5" t="str">
        <f aca="false">IF(H2=J2,"No","Yes")</f>
        <v>No</v>
      </c>
    </row>
    <row r="3" customFormat="false" ht="15" hidden="false" customHeight="true" outlineLevel="0" collapsed="false">
      <c r="A3" s="5" t="n">
        <v>2</v>
      </c>
      <c r="B3" s="5" t="s">
        <v>310</v>
      </c>
      <c r="C3" s="6" t="s">
        <v>36</v>
      </c>
      <c r="D3" s="6" t="s">
        <v>57</v>
      </c>
      <c r="E3" s="5" t="s">
        <v>287</v>
      </c>
      <c r="F3" s="6" t="s">
        <v>289</v>
      </c>
      <c r="G3" s="6" t="s">
        <v>311</v>
      </c>
      <c r="H3" s="5" t="s">
        <v>309</v>
      </c>
      <c r="I3" s="5" t="n">
        <v>7.15</v>
      </c>
      <c r="J3" s="5" t="s">
        <v>309</v>
      </c>
      <c r="K3" s="5" t="n">
        <v>7.15</v>
      </c>
      <c r="L3" s="5" t="str">
        <f aca="false">IF(H3=J3,"No","Yes")</f>
        <v>No</v>
      </c>
    </row>
    <row r="4" customFormat="false" ht="26.25" hidden="false" customHeight="true" outlineLevel="0" collapsed="false">
      <c r="A4" s="5" t="n">
        <v>3</v>
      </c>
      <c r="B4" s="5" t="s">
        <v>312</v>
      </c>
      <c r="C4" s="6" t="s">
        <v>36</v>
      </c>
      <c r="D4" s="6" t="s">
        <v>57</v>
      </c>
      <c r="E4" s="5" t="s">
        <v>313</v>
      </c>
      <c r="F4" s="6" t="s">
        <v>283</v>
      </c>
      <c r="G4" s="6" t="s">
        <v>314</v>
      </c>
      <c r="H4" s="5" t="s">
        <v>309</v>
      </c>
      <c r="I4" s="5" t="n">
        <v>7.15</v>
      </c>
      <c r="J4" s="5" t="s">
        <v>315</v>
      </c>
      <c r="K4" s="5" t="n">
        <v>9.4</v>
      </c>
      <c r="L4" s="5" t="str">
        <f aca="false">IF(H4=J4,"No","Yes")</f>
        <v>Yes</v>
      </c>
    </row>
    <row r="5" customFormat="false" ht="15" hidden="false" customHeight="true" outlineLevel="0" collapsed="false">
      <c r="A5" s="5" t="n">
        <v>4</v>
      </c>
      <c r="B5" s="5" t="s">
        <v>316</v>
      </c>
      <c r="C5" s="6" t="s">
        <v>57</v>
      </c>
      <c r="D5" s="6" t="s">
        <v>65</v>
      </c>
      <c r="E5" s="5" t="s">
        <v>313</v>
      </c>
      <c r="F5" s="6" t="s">
        <v>286</v>
      </c>
      <c r="G5" s="6" t="s">
        <v>314</v>
      </c>
      <c r="H5" s="5" t="s">
        <v>317</v>
      </c>
      <c r="I5" s="5" t="n">
        <v>5.25</v>
      </c>
      <c r="J5" s="5" t="s">
        <v>318</v>
      </c>
      <c r="K5" s="5" t="n">
        <v>5.5</v>
      </c>
      <c r="L5" s="5" t="str">
        <f aca="false">IF(H5=J5,"No","Yes")</f>
        <v>Yes</v>
      </c>
    </row>
    <row r="6" customFormat="false" ht="15" hidden="false" customHeight="true" outlineLevel="0" collapsed="false">
      <c r="A6" s="5" t="n">
        <v>5</v>
      </c>
      <c r="B6" s="5" t="s">
        <v>319</v>
      </c>
      <c r="C6" s="6" t="s">
        <v>36</v>
      </c>
      <c r="D6" s="6" t="s">
        <v>65</v>
      </c>
      <c r="E6" s="5" t="s">
        <v>320</v>
      </c>
      <c r="F6" s="6" t="s">
        <v>321</v>
      </c>
      <c r="G6" s="6" t="s">
        <v>311</v>
      </c>
      <c r="H6" s="5" t="s">
        <v>322</v>
      </c>
      <c r="I6" s="5" t="n">
        <v>2.9</v>
      </c>
      <c r="J6" s="5" t="s">
        <v>256</v>
      </c>
      <c r="K6" s="5" t="n">
        <v>4.2</v>
      </c>
      <c r="L6" s="5" t="str">
        <f aca="false">IF(H6=J6,"No","Yes")</f>
        <v>Yes</v>
      </c>
    </row>
    <row r="7" customFormat="false" ht="15" hidden="false" customHeight="true" outlineLevel="0" collapsed="false">
      <c r="A7" s="5" t="n">
        <v>6</v>
      </c>
      <c r="B7" s="5" t="s">
        <v>323</v>
      </c>
      <c r="C7" s="6" t="s">
        <v>36</v>
      </c>
      <c r="D7" s="6" t="s">
        <v>74</v>
      </c>
      <c r="E7" s="5" t="s">
        <v>320</v>
      </c>
      <c r="F7" s="6" t="s">
        <v>324</v>
      </c>
      <c r="G7" s="6" t="s">
        <v>325</v>
      </c>
      <c r="H7" s="5" t="s">
        <v>258</v>
      </c>
      <c r="I7" s="5" t="n">
        <v>4.4</v>
      </c>
      <c r="J7" s="5" t="s">
        <v>326</v>
      </c>
      <c r="K7" s="5" t="n">
        <v>6.1</v>
      </c>
      <c r="L7" s="5" t="str">
        <f aca="false">IF(H7=J7,"No","Yes")</f>
        <v>Yes</v>
      </c>
    </row>
    <row r="8" customFormat="false" ht="15" hidden="false" customHeight="true" outlineLevel="0" collapsed="false">
      <c r="A8" s="5" t="n">
        <v>7</v>
      </c>
      <c r="B8" s="5" t="s">
        <v>327</v>
      </c>
      <c r="C8" s="6" t="s">
        <v>36</v>
      </c>
      <c r="D8" s="6" t="s">
        <v>57</v>
      </c>
      <c r="E8" s="5" t="s">
        <v>313</v>
      </c>
      <c r="F8" s="6" t="s">
        <v>328</v>
      </c>
      <c r="G8" s="6" t="s">
        <v>314</v>
      </c>
      <c r="H8" s="5" t="s">
        <v>309</v>
      </c>
      <c r="I8" s="5" t="n">
        <v>7.15</v>
      </c>
      <c r="J8" s="5" t="s">
        <v>329</v>
      </c>
      <c r="K8" s="5" t="s">
        <v>330</v>
      </c>
      <c r="L8" s="5" t="str">
        <f aca="false">IF(H8=J8,"No","Yes")</f>
        <v>Yes</v>
      </c>
    </row>
    <row r="9" customFormat="false" ht="39" hidden="false" customHeight="true" outlineLevel="0" collapsed="false">
      <c r="A9" s="5" t="n">
        <v>8</v>
      </c>
      <c r="B9" s="5" t="s">
        <v>331</v>
      </c>
      <c r="C9" s="6" t="s">
        <v>36</v>
      </c>
      <c r="D9" s="6" t="s">
        <v>57</v>
      </c>
      <c r="E9" s="5" t="s">
        <v>332</v>
      </c>
      <c r="F9" s="6" t="s">
        <v>333</v>
      </c>
      <c r="G9" s="6" t="s">
        <v>334</v>
      </c>
      <c r="H9" s="5" t="s">
        <v>309</v>
      </c>
      <c r="I9" s="5" t="n">
        <v>7.15</v>
      </c>
      <c r="J9" s="5" t="s">
        <v>315</v>
      </c>
      <c r="K9" s="5" t="n">
        <v>9.4</v>
      </c>
      <c r="L9" s="5" t="str">
        <f aca="false">IF(H9=J9,"No","Yes")</f>
        <v>Yes</v>
      </c>
    </row>
    <row r="11" customFormat="false" ht="15" hidden="false" customHeight="true" outlineLevel="0" collapsed="false">
      <c r="A11" s="7" t="s">
        <v>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7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6" min="6" style="1" width="58"/>
    <col collapsed="false" customWidth="true" hidden="false" outlineLevel="0" max="7" min="7" style="1" width="11"/>
    <col collapsed="false" customWidth="true" hidden="false" outlineLevel="0" max="8" min="8" style="1" width="10"/>
    <col collapsed="false" customWidth="true" hidden="false" outlineLevel="0" max="9" min="9" style="1" width="13"/>
    <col collapsed="false" customWidth="true" hidden="false" outlineLevel="0" max="10" min="10" style="1" width="10"/>
    <col collapsed="false" customWidth="true" hidden="false" outlineLevel="0" max="11" min="11" style="1" width="14"/>
  </cols>
  <sheetData>
    <row r="1" customFormat="false" ht="26.25" hidden="false" customHeight="true" outlineLevel="0" collapsed="false">
      <c r="A1" s="4" t="s">
        <v>336</v>
      </c>
      <c r="B1" s="4" t="s">
        <v>298</v>
      </c>
      <c r="C1" s="4" t="s">
        <v>299</v>
      </c>
      <c r="D1" s="4" t="s">
        <v>337</v>
      </c>
      <c r="E1" s="4" t="s">
        <v>338</v>
      </c>
      <c r="F1" s="4" t="s">
        <v>190</v>
      </c>
      <c r="G1" s="4" t="s">
        <v>96</v>
      </c>
      <c r="H1" s="4" t="s">
        <v>339</v>
      </c>
      <c r="I1" s="4" t="s">
        <v>340</v>
      </c>
      <c r="J1" s="4" t="s">
        <v>341</v>
      </c>
      <c r="K1" s="4" t="s">
        <v>342</v>
      </c>
    </row>
    <row r="2" customFormat="false" ht="15" hidden="false" customHeight="true" outlineLevel="0" collapsed="false">
      <c r="A2" s="5" t="n">
        <v>1</v>
      </c>
      <c r="B2" s="5" t="s">
        <v>36</v>
      </c>
      <c r="C2" s="5" t="s">
        <v>57</v>
      </c>
      <c r="D2" s="5" t="s">
        <v>343</v>
      </c>
      <c r="E2" s="5" t="n">
        <v>24</v>
      </c>
      <c r="F2" s="5" t="s">
        <v>344</v>
      </c>
      <c r="G2" s="5" t="n">
        <v>7.4</v>
      </c>
      <c r="H2" s="5" t="n">
        <v>7.4</v>
      </c>
      <c r="I2" s="5" t="n">
        <f aca="false">H3</f>
        <v>7.15</v>
      </c>
      <c r="J2" s="5" t="str">
        <f aca="false">IF(ISNUMBER(H2),IF(ROUND(H2,2)=ROUND(I2,2),"Yes","No"),"-")</f>
        <v>No</v>
      </c>
      <c r="K2" s="5" t="s">
        <v>345</v>
      </c>
    </row>
    <row r="3" customFormat="false" ht="15" hidden="false" customHeight="true" outlineLevel="0" collapsed="false">
      <c r="A3" s="5" t="n">
        <v>1</v>
      </c>
      <c r="B3" s="5" t="s">
        <v>36</v>
      </c>
      <c r="C3" s="5" t="s">
        <v>57</v>
      </c>
      <c r="D3" s="5" t="s">
        <v>346</v>
      </c>
      <c r="E3" s="5" t="n">
        <v>25</v>
      </c>
      <c r="F3" s="5" t="s">
        <v>309</v>
      </c>
      <c r="G3" s="5" t="n">
        <v>7.15</v>
      </c>
      <c r="H3" s="5" t="n">
        <v>7.15</v>
      </c>
      <c r="I3" s="5" t="n">
        <f aca="false">H3</f>
        <v>7.15</v>
      </c>
      <c r="J3" s="5" t="str">
        <f aca="false">IF(ISNUMBER(H3),IF(ROUND(H3,2)=ROUND(I3,2),"Yes","No"),"-")</f>
        <v>Yes</v>
      </c>
      <c r="K3" s="5" t="s">
        <v>345</v>
      </c>
    </row>
    <row r="4" customFormat="false" ht="15" hidden="false" customHeight="true" outlineLevel="0" collapsed="false">
      <c r="A4" s="5" t="n">
        <v>1</v>
      </c>
      <c r="B4" s="5" t="s">
        <v>36</v>
      </c>
      <c r="C4" s="5" t="s">
        <v>57</v>
      </c>
      <c r="D4" s="5" t="s">
        <v>347</v>
      </c>
      <c r="E4" s="5" t="n">
        <v>18</v>
      </c>
      <c r="F4" s="5" t="s">
        <v>309</v>
      </c>
      <c r="G4" s="5" t="n">
        <v>7.15</v>
      </c>
      <c r="H4" s="5" t="n">
        <v>7.15</v>
      </c>
      <c r="I4" s="5" t="n">
        <f aca="false">H3</f>
        <v>7.15</v>
      </c>
      <c r="J4" s="5" t="str">
        <f aca="false">IF(ISNUMBER(H4),IF(ROUND(H4,2)=ROUND(I4,2),"Yes","No"),"-")</f>
        <v>Yes</v>
      </c>
      <c r="K4" s="5" t="s">
        <v>345</v>
      </c>
    </row>
    <row r="5" customFormat="false" ht="15" hidden="false" customHeight="true" outlineLevel="0" collapsed="false">
      <c r="A5" s="5" t="n">
        <v>2</v>
      </c>
      <c r="B5" s="5" t="s">
        <v>36</v>
      </c>
      <c r="C5" s="5" t="s">
        <v>57</v>
      </c>
      <c r="D5" s="5" t="s">
        <v>343</v>
      </c>
      <c r="E5" s="5" t="n">
        <v>24</v>
      </c>
      <c r="F5" s="5" t="s">
        <v>344</v>
      </c>
      <c r="G5" s="5" t="n">
        <v>7.4</v>
      </c>
      <c r="H5" s="5" t="n">
        <v>7.4</v>
      </c>
      <c r="I5" s="5" t="n">
        <f aca="false">H6</f>
        <v>7.15</v>
      </c>
      <c r="J5" s="5" t="str">
        <f aca="false">IF(ISNUMBER(H5),IF(ROUND(H5,2)=ROUND(I5,2),"Yes","No"),"-")</f>
        <v>No</v>
      </c>
      <c r="K5" s="5" t="s">
        <v>345</v>
      </c>
    </row>
    <row r="6" customFormat="false" ht="15" hidden="false" customHeight="true" outlineLevel="0" collapsed="false">
      <c r="A6" s="5" t="n">
        <v>2</v>
      </c>
      <c r="B6" s="5" t="s">
        <v>36</v>
      </c>
      <c r="C6" s="5" t="s">
        <v>57</v>
      </c>
      <c r="D6" s="5" t="s">
        <v>346</v>
      </c>
      <c r="E6" s="5" t="n">
        <v>22</v>
      </c>
      <c r="F6" s="5" t="s">
        <v>309</v>
      </c>
      <c r="G6" s="5" t="n">
        <v>7.15</v>
      </c>
      <c r="H6" s="5" t="n">
        <v>7.15</v>
      </c>
      <c r="I6" s="5" t="n">
        <f aca="false">H6</f>
        <v>7.15</v>
      </c>
      <c r="J6" s="5" t="str">
        <f aca="false">IF(ISNUMBER(H6),IF(ROUND(H6,2)=ROUND(I6,2),"Yes","No"),"-")</f>
        <v>Yes</v>
      </c>
      <c r="K6" s="5" t="s">
        <v>345</v>
      </c>
    </row>
    <row r="7" customFormat="false" ht="15" hidden="false" customHeight="true" outlineLevel="0" collapsed="false">
      <c r="A7" s="5" t="n">
        <v>2</v>
      </c>
      <c r="B7" s="5" t="s">
        <v>36</v>
      </c>
      <c r="C7" s="5" t="s">
        <v>57</v>
      </c>
      <c r="D7" s="5" t="s">
        <v>347</v>
      </c>
      <c r="E7" s="5" t="n">
        <v>15</v>
      </c>
      <c r="F7" s="5" t="s">
        <v>309</v>
      </c>
      <c r="G7" s="5" t="n">
        <v>7.15</v>
      </c>
      <c r="H7" s="5" t="n">
        <v>7.15</v>
      </c>
      <c r="I7" s="5" t="n">
        <f aca="false">H6</f>
        <v>7.15</v>
      </c>
      <c r="J7" s="5" t="str">
        <f aca="false">IF(ISNUMBER(H7),IF(ROUND(H7,2)=ROUND(I7,2),"Yes","No"),"-")</f>
        <v>Yes</v>
      </c>
      <c r="K7" s="5" t="s">
        <v>345</v>
      </c>
    </row>
    <row r="8" customFormat="false" ht="15" hidden="false" customHeight="true" outlineLevel="0" collapsed="false">
      <c r="A8" s="5" t="n">
        <v>3</v>
      </c>
      <c r="B8" s="5" t="s">
        <v>36</v>
      </c>
      <c r="C8" s="5" t="s">
        <v>57</v>
      </c>
      <c r="D8" s="5" t="s">
        <v>343</v>
      </c>
      <c r="E8" s="5" t="n">
        <v>25</v>
      </c>
      <c r="F8" s="5" t="s">
        <v>348</v>
      </c>
      <c r="G8" s="5" t="n">
        <v>14.1</v>
      </c>
      <c r="H8" s="5" t="n">
        <v>14.1</v>
      </c>
      <c r="I8" s="5" t="n">
        <f aca="false">H9</f>
        <v>9.4</v>
      </c>
      <c r="J8" s="5" t="str">
        <f aca="false">IF(ISNUMBER(H8),IF(ROUND(H8,2)=ROUND(I8,2),"Yes","No"),"-")</f>
        <v>No</v>
      </c>
      <c r="K8" s="5" t="s">
        <v>345</v>
      </c>
    </row>
    <row r="9" customFormat="false" ht="15" hidden="false" customHeight="true" outlineLevel="0" collapsed="false">
      <c r="A9" s="5" t="n">
        <v>3</v>
      </c>
      <c r="B9" s="5" t="s">
        <v>36</v>
      </c>
      <c r="C9" s="5" t="s">
        <v>57</v>
      </c>
      <c r="D9" s="5" t="s">
        <v>346</v>
      </c>
      <c r="E9" s="5" t="n">
        <v>25</v>
      </c>
      <c r="F9" s="5" t="s">
        <v>315</v>
      </c>
      <c r="G9" s="5" t="n">
        <v>9.4</v>
      </c>
      <c r="H9" s="5" t="n">
        <v>9.4</v>
      </c>
      <c r="I9" s="5" t="n">
        <f aca="false">H9</f>
        <v>9.4</v>
      </c>
      <c r="J9" s="5" t="str">
        <f aca="false">IF(ISNUMBER(H9),IF(ROUND(H9,2)=ROUND(I9,2),"Yes","No"),"-")</f>
        <v>Yes</v>
      </c>
      <c r="K9" s="5" t="s">
        <v>345</v>
      </c>
    </row>
    <row r="10" customFormat="false" ht="15" hidden="false" customHeight="true" outlineLevel="0" collapsed="false">
      <c r="A10" s="5" t="n">
        <v>3</v>
      </c>
      <c r="B10" s="5" t="s">
        <v>36</v>
      </c>
      <c r="C10" s="5" t="s">
        <v>57</v>
      </c>
      <c r="D10" s="5" t="s">
        <v>347</v>
      </c>
      <c r="E10" s="5" t="n">
        <v>24</v>
      </c>
      <c r="F10" s="5" t="s">
        <v>315</v>
      </c>
      <c r="G10" s="5" t="n">
        <v>9.4</v>
      </c>
      <c r="H10" s="5" t="n">
        <v>9.4</v>
      </c>
      <c r="I10" s="5" t="n">
        <f aca="false">H9</f>
        <v>9.4</v>
      </c>
      <c r="J10" s="5" t="str">
        <f aca="false">IF(ISNUMBER(H10),IF(ROUND(H10,2)=ROUND(I10,2),"Yes","No"),"-")</f>
        <v>Yes</v>
      </c>
      <c r="K10" s="5" t="s">
        <v>345</v>
      </c>
    </row>
    <row r="11" customFormat="false" ht="15" hidden="false" customHeight="true" outlineLevel="0" collapsed="false">
      <c r="A11" s="5" t="n">
        <v>4</v>
      </c>
      <c r="B11" s="5" t="s">
        <v>57</v>
      </c>
      <c r="C11" s="5" t="s">
        <v>65</v>
      </c>
      <c r="D11" s="5" t="s">
        <v>343</v>
      </c>
      <c r="E11" s="5" t="n">
        <v>8</v>
      </c>
      <c r="F11" s="5" t="s">
        <v>349</v>
      </c>
      <c r="G11" s="5" t="n">
        <v>5.8</v>
      </c>
      <c r="H11" s="5" t="n">
        <v>5.8</v>
      </c>
      <c r="I11" s="5" t="n">
        <f aca="false">H12</f>
        <v>5.5</v>
      </c>
      <c r="J11" s="5" t="str">
        <f aca="false">IF(ISNUMBER(H11),IF(ROUND(H11,2)=ROUND(I11,2),"Yes","No"),"-")</f>
        <v>No</v>
      </c>
      <c r="K11" s="5" t="s">
        <v>345</v>
      </c>
    </row>
    <row r="12" customFormat="false" ht="15" hidden="false" customHeight="true" outlineLevel="0" collapsed="false">
      <c r="A12" s="5" t="n">
        <v>4</v>
      </c>
      <c r="B12" s="5" t="s">
        <v>57</v>
      </c>
      <c r="C12" s="5" t="s">
        <v>65</v>
      </c>
      <c r="D12" s="5" t="s">
        <v>346</v>
      </c>
      <c r="E12" s="5" t="n">
        <v>12</v>
      </c>
      <c r="F12" s="5" t="s">
        <v>318</v>
      </c>
      <c r="G12" s="5" t="n">
        <v>5.5</v>
      </c>
      <c r="H12" s="5" t="n">
        <v>5.5</v>
      </c>
      <c r="I12" s="5" t="n">
        <f aca="false">H12</f>
        <v>5.5</v>
      </c>
      <c r="J12" s="5" t="str">
        <f aca="false">IF(ISNUMBER(H12),IF(ROUND(H12,2)=ROUND(I12,2),"Yes","No"),"-")</f>
        <v>Yes</v>
      </c>
      <c r="K12" s="5" t="s">
        <v>345</v>
      </c>
    </row>
    <row r="13" customFormat="false" ht="15" hidden="false" customHeight="true" outlineLevel="0" collapsed="false">
      <c r="A13" s="5" t="n">
        <v>4</v>
      </c>
      <c r="B13" s="5" t="s">
        <v>57</v>
      </c>
      <c r="C13" s="5" t="s">
        <v>65</v>
      </c>
      <c r="D13" s="5" t="s">
        <v>347</v>
      </c>
      <c r="E13" s="5" t="n">
        <v>9</v>
      </c>
      <c r="F13" s="5" t="s">
        <v>318</v>
      </c>
      <c r="G13" s="5" t="n">
        <v>5.5</v>
      </c>
      <c r="H13" s="5" t="n">
        <v>5.5</v>
      </c>
      <c r="I13" s="5" t="n">
        <f aca="false">H12</f>
        <v>5.5</v>
      </c>
      <c r="J13" s="5" t="str">
        <f aca="false">IF(ISNUMBER(H13),IF(ROUND(H13,2)=ROUND(I13,2),"Yes","No"),"-")</f>
        <v>Yes</v>
      </c>
      <c r="K13" s="5" t="s">
        <v>345</v>
      </c>
    </row>
    <row r="14" customFormat="false" ht="15" hidden="false" customHeight="true" outlineLevel="0" collapsed="false">
      <c r="A14" s="5" t="n">
        <v>5</v>
      </c>
      <c r="B14" s="5" t="s">
        <v>36</v>
      </c>
      <c r="C14" s="5" t="s">
        <v>65</v>
      </c>
      <c r="D14" s="5" t="s">
        <v>343</v>
      </c>
      <c r="E14" s="5" t="n">
        <v>18</v>
      </c>
      <c r="F14" s="5" t="s">
        <v>322</v>
      </c>
      <c r="G14" s="5" t="n">
        <v>2.9</v>
      </c>
      <c r="H14" s="5" t="n">
        <v>6.9</v>
      </c>
      <c r="I14" s="5" t="n">
        <f aca="false">H15</f>
        <v>4.2</v>
      </c>
      <c r="J14" s="5" t="str">
        <f aca="false">IF(ISNUMBER(H14),IF(ROUND(H14,2)=ROUND(I14,2),"Yes","No"),"-")</f>
        <v>No</v>
      </c>
      <c r="K14" s="5" t="s">
        <v>350</v>
      </c>
    </row>
    <row r="15" customFormat="false" ht="15" hidden="false" customHeight="true" outlineLevel="0" collapsed="false">
      <c r="A15" s="5" t="n">
        <v>5</v>
      </c>
      <c r="B15" s="5" t="s">
        <v>36</v>
      </c>
      <c r="C15" s="5" t="s">
        <v>65</v>
      </c>
      <c r="D15" s="5" t="s">
        <v>346</v>
      </c>
      <c r="E15" s="5" t="n">
        <v>14</v>
      </c>
      <c r="F15" s="5" t="s">
        <v>351</v>
      </c>
      <c r="G15" s="5" t="n">
        <v>4.2</v>
      </c>
      <c r="H15" s="5" t="n">
        <v>4.2</v>
      </c>
      <c r="I15" s="5" t="n">
        <f aca="false">H15</f>
        <v>4.2</v>
      </c>
      <c r="J15" s="5" t="str">
        <f aca="false">IF(ISNUMBER(H15),IF(ROUND(H15,2)=ROUND(I15,2),"Yes","No"),"-")</f>
        <v>Yes</v>
      </c>
      <c r="K15" s="5" t="s">
        <v>345</v>
      </c>
    </row>
    <row r="16" customFormat="false" ht="15" hidden="false" customHeight="true" outlineLevel="0" collapsed="false">
      <c r="A16" s="5" t="n">
        <v>5</v>
      </c>
      <c r="B16" s="5" t="s">
        <v>36</v>
      </c>
      <c r="C16" s="5" t="s">
        <v>65</v>
      </c>
      <c r="D16" s="5" t="s">
        <v>347</v>
      </c>
      <c r="E16" s="5" t="n">
        <v>11</v>
      </c>
      <c r="F16" s="5" t="s">
        <v>256</v>
      </c>
      <c r="G16" s="5" t="n">
        <v>4.2</v>
      </c>
      <c r="H16" s="5" t="n">
        <v>4.2</v>
      </c>
      <c r="I16" s="5" t="n">
        <f aca="false">H15</f>
        <v>4.2</v>
      </c>
      <c r="J16" s="5" t="str">
        <f aca="false">IF(ISNUMBER(H16),IF(ROUND(H16,2)=ROUND(I16,2),"Yes","No"),"-")</f>
        <v>Yes</v>
      </c>
      <c r="K16" s="5" t="s">
        <v>345</v>
      </c>
    </row>
    <row r="17" customFormat="false" ht="15" hidden="false" customHeight="true" outlineLevel="0" collapsed="false">
      <c r="A17" s="5" t="n">
        <v>6</v>
      </c>
      <c r="B17" s="5" t="s">
        <v>36</v>
      </c>
      <c r="C17" s="5" t="s">
        <v>74</v>
      </c>
      <c r="D17" s="5" t="s">
        <v>343</v>
      </c>
      <c r="E17" s="5" t="n">
        <v>16</v>
      </c>
      <c r="F17" s="5" t="s">
        <v>258</v>
      </c>
      <c r="G17" s="5" t="n">
        <v>4.4</v>
      </c>
      <c r="H17" s="5" t="n">
        <v>6.4</v>
      </c>
      <c r="I17" s="5" t="n">
        <f aca="false">H18</f>
        <v>6.1</v>
      </c>
      <c r="J17" s="5" t="str">
        <f aca="false">IF(ISNUMBER(H17),IF(ROUND(H17,2)=ROUND(I17,2),"Yes","No"),"-")</f>
        <v>No</v>
      </c>
      <c r="K17" s="5" t="s">
        <v>350</v>
      </c>
    </row>
    <row r="18" customFormat="false" ht="15" hidden="false" customHeight="true" outlineLevel="0" collapsed="false">
      <c r="A18" s="5" t="n">
        <v>6</v>
      </c>
      <c r="B18" s="5" t="s">
        <v>36</v>
      </c>
      <c r="C18" s="5" t="s">
        <v>74</v>
      </c>
      <c r="D18" s="5" t="s">
        <v>346</v>
      </c>
      <c r="E18" s="5" t="n">
        <v>20</v>
      </c>
      <c r="F18" s="5" t="s">
        <v>326</v>
      </c>
      <c r="G18" s="5" t="n">
        <v>6.1</v>
      </c>
      <c r="H18" s="5" t="n">
        <v>6.1</v>
      </c>
      <c r="I18" s="5" t="n">
        <f aca="false">H18</f>
        <v>6.1</v>
      </c>
      <c r="J18" s="5" t="str">
        <f aca="false">IF(ISNUMBER(H18),IF(ROUND(H18,2)=ROUND(I18,2),"Yes","No"),"-")</f>
        <v>Yes</v>
      </c>
      <c r="K18" s="5" t="s">
        <v>345</v>
      </c>
    </row>
    <row r="19" customFormat="false" ht="15" hidden="false" customHeight="true" outlineLevel="0" collapsed="false">
      <c r="A19" s="5" t="n">
        <v>6</v>
      </c>
      <c r="B19" s="5" t="s">
        <v>36</v>
      </c>
      <c r="C19" s="5" t="s">
        <v>74</v>
      </c>
      <c r="D19" s="5" t="s">
        <v>347</v>
      </c>
      <c r="E19" s="5" t="n">
        <v>14</v>
      </c>
      <c r="F19" s="5" t="s">
        <v>326</v>
      </c>
      <c r="G19" s="5" t="n">
        <v>6.1</v>
      </c>
      <c r="H19" s="5" t="n">
        <v>6.1</v>
      </c>
      <c r="I19" s="5" t="n">
        <f aca="false">H18</f>
        <v>6.1</v>
      </c>
      <c r="J19" s="5" t="str">
        <f aca="false">IF(ISNUMBER(H19),IF(ROUND(H19,2)=ROUND(I19,2),"Yes","No"),"-")</f>
        <v>Yes</v>
      </c>
      <c r="K19" s="5" t="s">
        <v>345</v>
      </c>
    </row>
    <row r="20" customFormat="false" ht="15" hidden="false" customHeight="true" outlineLevel="0" collapsed="false">
      <c r="A20" s="5" t="n">
        <v>7</v>
      </c>
      <c r="B20" s="5" t="s">
        <v>36</v>
      </c>
      <c r="C20" s="5" t="s">
        <v>57</v>
      </c>
      <c r="D20" s="5" t="s">
        <v>343</v>
      </c>
      <c r="E20" s="5" t="n">
        <v>1</v>
      </c>
      <c r="F20" s="5" t="s">
        <v>352</v>
      </c>
      <c r="G20" s="5" t="s">
        <v>308</v>
      </c>
      <c r="H20" s="5" t="s">
        <v>330</v>
      </c>
      <c r="I20" s="5" t="str">
        <f aca="false">H21</f>
        <v>INF</v>
      </c>
      <c r="J20" s="5" t="str">
        <f aca="false">IF(ISNUMBER(H20),IF(ROUND(H20,2)=ROUND(I20,2),"Yes","No"),"-")</f>
        <v>-</v>
      </c>
      <c r="K20" s="5" t="s">
        <v>308</v>
      </c>
    </row>
    <row r="21" customFormat="false" ht="15" hidden="false" customHeight="true" outlineLevel="0" collapsed="false">
      <c r="A21" s="5" t="n">
        <v>7</v>
      </c>
      <c r="B21" s="5" t="s">
        <v>36</v>
      </c>
      <c r="C21" s="5" t="s">
        <v>57</v>
      </c>
      <c r="D21" s="5" t="s">
        <v>346</v>
      </c>
      <c r="E21" s="5" t="n">
        <v>1</v>
      </c>
      <c r="F21" s="5" t="s">
        <v>352</v>
      </c>
      <c r="G21" s="5" t="s">
        <v>308</v>
      </c>
      <c r="H21" s="5" t="s">
        <v>330</v>
      </c>
      <c r="I21" s="5" t="str">
        <f aca="false">H21</f>
        <v>INF</v>
      </c>
      <c r="J21" s="5" t="str">
        <f aca="false">IF(ISNUMBER(H21),IF(ROUND(H21,2)=ROUND(I21,2),"Yes","No"),"-")</f>
        <v>-</v>
      </c>
      <c r="K21" s="5" t="s">
        <v>308</v>
      </c>
    </row>
    <row r="22" customFormat="false" ht="15" hidden="false" customHeight="true" outlineLevel="0" collapsed="false">
      <c r="A22" s="5" t="n">
        <v>7</v>
      </c>
      <c r="B22" s="5" t="s">
        <v>36</v>
      </c>
      <c r="C22" s="5" t="s">
        <v>57</v>
      </c>
      <c r="D22" s="5" t="s">
        <v>347</v>
      </c>
      <c r="E22" s="5" t="n">
        <v>1</v>
      </c>
      <c r="F22" s="5" t="s">
        <v>352</v>
      </c>
      <c r="G22" s="5" t="s">
        <v>308</v>
      </c>
      <c r="H22" s="5" t="s">
        <v>330</v>
      </c>
      <c r="I22" s="5" t="str">
        <f aca="false">H21</f>
        <v>INF</v>
      </c>
      <c r="J22" s="5" t="str">
        <f aca="false">IF(ISNUMBER(H22),IF(ROUND(H22,2)=ROUND(I22,2),"Yes","No"),"-")</f>
        <v>-</v>
      </c>
      <c r="K22" s="5" t="s">
        <v>308</v>
      </c>
    </row>
    <row r="23" customFormat="false" ht="15" hidden="false" customHeight="true" outlineLevel="0" collapsed="false">
      <c r="A23" s="5" t="n">
        <v>8</v>
      </c>
      <c r="B23" s="5" t="s">
        <v>36</v>
      </c>
      <c r="C23" s="5" t="s">
        <v>57</v>
      </c>
      <c r="D23" s="5" t="s">
        <v>343</v>
      </c>
      <c r="E23" s="5" t="n">
        <v>25</v>
      </c>
      <c r="F23" s="5" t="s">
        <v>348</v>
      </c>
      <c r="G23" s="5" t="n">
        <v>14.1</v>
      </c>
      <c r="H23" s="5" t="n">
        <v>14.1</v>
      </c>
      <c r="I23" s="5" t="n">
        <f aca="false">H24</f>
        <v>9.4</v>
      </c>
      <c r="J23" s="5" t="str">
        <f aca="false">IF(ISNUMBER(H23),IF(ROUND(H23,2)=ROUND(I23,2),"Yes","No"),"-")</f>
        <v>No</v>
      </c>
      <c r="K23" s="5" t="s">
        <v>345</v>
      </c>
    </row>
    <row r="24" customFormat="false" ht="15" hidden="false" customHeight="true" outlineLevel="0" collapsed="false">
      <c r="A24" s="5" t="n">
        <v>8</v>
      </c>
      <c r="B24" s="5" t="s">
        <v>36</v>
      </c>
      <c r="C24" s="5" t="s">
        <v>57</v>
      </c>
      <c r="D24" s="5" t="s">
        <v>346</v>
      </c>
      <c r="E24" s="5" t="n">
        <v>20</v>
      </c>
      <c r="F24" s="5" t="s">
        <v>315</v>
      </c>
      <c r="G24" s="5" t="n">
        <v>9.4</v>
      </c>
      <c r="H24" s="5" t="n">
        <v>9.4</v>
      </c>
      <c r="I24" s="5" t="n">
        <f aca="false">H24</f>
        <v>9.4</v>
      </c>
      <c r="J24" s="5" t="str">
        <f aca="false">IF(ISNUMBER(H24),IF(ROUND(H24,2)=ROUND(I24,2),"Yes","No"),"-")</f>
        <v>Yes</v>
      </c>
      <c r="K24" s="5" t="s">
        <v>345</v>
      </c>
    </row>
    <row r="25" customFormat="false" ht="15" hidden="false" customHeight="true" outlineLevel="0" collapsed="false">
      <c r="A25" s="5" t="n">
        <v>8</v>
      </c>
      <c r="B25" s="5" t="s">
        <v>36</v>
      </c>
      <c r="C25" s="5" t="s">
        <v>57</v>
      </c>
      <c r="D25" s="5" t="s">
        <v>347</v>
      </c>
      <c r="E25" s="5" t="n">
        <v>18</v>
      </c>
      <c r="F25" s="5" t="s">
        <v>315</v>
      </c>
      <c r="G25" s="5" t="n">
        <v>9.4</v>
      </c>
      <c r="H25" s="5" t="n">
        <v>9.4</v>
      </c>
      <c r="I25" s="5" t="n">
        <f aca="false">H24</f>
        <v>9.4</v>
      </c>
      <c r="J25" s="5" t="str">
        <f aca="false">IF(ISNUMBER(H25),IF(ROUND(H25,2)=ROUND(I25,2),"Yes","No"),"-")</f>
        <v>Yes</v>
      </c>
      <c r="K25" s="5" t="s">
        <v>345</v>
      </c>
    </row>
    <row r="27" customFormat="false" ht="15" hidden="false" customHeight="true" outlineLevel="0" collapsed="false">
      <c r="A27" s="7" t="s">
        <v>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6"/>
    <col collapsed="false" customWidth="true" hidden="false" outlineLevel="0" max="3" min="3" style="1" width="34"/>
    <col collapsed="false" customWidth="true" hidden="false" outlineLevel="0" max="4" min="4" style="1" width="9"/>
    <col collapsed="false" customWidth="true" hidden="false" outlineLevel="0" max="5" min="5" style="1" width="58"/>
    <col collapsed="false" customWidth="true" hidden="false" outlineLevel="0" max="6" min="6" style="1" width="8"/>
    <col collapsed="false" customWidth="true" hidden="false" outlineLevel="0" max="8" min="7" style="1" width="12"/>
  </cols>
  <sheetData>
    <row r="1" customFormat="false" ht="26.25" hidden="false" customHeight="true" outlineLevel="0" collapsed="false">
      <c r="A1" s="4" t="s">
        <v>354</v>
      </c>
      <c r="B1" s="4" t="s">
        <v>355</v>
      </c>
      <c r="C1" s="4" t="s">
        <v>356</v>
      </c>
      <c r="D1" s="4" t="s">
        <v>301</v>
      </c>
      <c r="E1" s="4" t="s">
        <v>357</v>
      </c>
      <c r="F1" s="4" t="s">
        <v>100</v>
      </c>
      <c r="G1" s="4" t="s">
        <v>358</v>
      </c>
      <c r="H1" s="4" t="s">
        <v>306</v>
      </c>
    </row>
    <row r="2" customFormat="false" ht="15" hidden="false" customHeight="true" outlineLevel="0" collapsed="false">
      <c r="A2" s="5" t="n">
        <v>1</v>
      </c>
      <c r="B2" s="5" t="s">
        <v>359</v>
      </c>
      <c r="C2" s="5" t="s">
        <v>127</v>
      </c>
      <c r="D2" s="5" t="s">
        <v>325</v>
      </c>
      <c r="E2" s="5" t="s">
        <v>309</v>
      </c>
      <c r="F2" s="5" t="n">
        <v>7.15</v>
      </c>
      <c r="G2" s="5" t="n">
        <v>7.15</v>
      </c>
      <c r="H2" s="5" t="str">
        <f aca="false">IF(E2="UC &gt; N1 &gt; N9 &gt; N10 &gt; N16 &gt; N17 &gt; N8 &gt; MP","No","Yes")</f>
        <v>No</v>
      </c>
    </row>
    <row r="3" customFormat="false" ht="15" hidden="false" customHeight="true" outlineLevel="0" collapsed="false">
      <c r="A3" s="5" t="n">
        <v>2</v>
      </c>
      <c r="B3" s="5" t="s">
        <v>360</v>
      </c>
      <c r="C3" s="5" t="s">
        <v>148</v>
      </c>
      <c r="D3" s="5" t="s">
        <v>325</v>
      </c>
      <c r="E3" s="5" t="s">
        <v>309</v>
      </c>
      <c r="F3" s="5" t="n">
        <v>7.15</v>
      </c>
      <c r="G3" s="5" t="n">
        <v>7.15</v>
      </c>
      <c r="H3" s="5" t="str">
        <f aca="false">IF(E3="UC &gt; N1 &gt; N9 &gt; N10 &gt; N16 &gt; N17 &gt; N8 &gt; MP","No","Yes")</f>
        <v>No</v>
      </c>
    </row>
    <row r="4" customFormat="false" ht="15" hidden="false" customHeight="true" outlineLevel="0" collapsed="false">
      <c r="A4" s="5" t="n">
        <v>3</v>
      </c>
      <c r="B4" s="5" t="s">
        <v>361</v>
      </c>
      <c r="C4" s="5" t="s">
        <v>145</v>
      </c>
      <c r="D4" s="5" t="s">
        <v>325</v>
      </c>
      <c r="E4" s="5" t="s">
        <v>309</v>
      </c>
      <c r="F4" s="5" t="n">
        <v>7.15</v>
      </c>
      <c r="G4" s="5" t="n">
        <v>7.15</v>
      </c>
      <c r="H4" s="5" t="str">
        <f aca="false">IF(E4="UC &gt; N1 &gt; N9 &gt; N10 &gt; N16 &gt; N17 &gt; N8 &gt; MP","No","Yes")</f>
        <v>No</v>
      </c>
    </row>
    <row r="5" customFormat="false" ht="15" hidden="false" customHeight="true" outlineLevel="0" collapsed="false">
      <c r="A5" s="5" t="n">
        <v>4</v>
      </c>
      <c r="B5" s="5" t="s">
        <v>362</v>
      </c>
      <c r="C5" s="5" t="s">
        <v>125</v>
      </c>
      <c r="D5" s="5" t="s">
        <v>325</v>
      </c>
      <c r="E5" s="5" t="s">
        <v>309</v>
      </c>
      <c r="F5" s="5" t="n">
        <v>7.15</v>
      </c>
      <c r="G5" s="5" t="n">
        <v>7.15</v>
      </c>
      <c r="H5" s="5" t="str">
        <f aca="false">IF(E5="UC &gt; N1 &gt; N9 &gt; N10 &gt; N16 &gt; N17 &gt; N8 &gt; MP","No","Yes")</f>
        <v>No</v>
      </c>
    </row>
    <row r="6" customFormat="false" ht="15" hidden="false" customHeight="true" outlineLevel="0" collapsed="false">
      <c r="A6" s="5" t="n">
        <v>5</v>
      </c>
      <c r="B6" s="5" t="s">
        <v>363</v>
      </c>
      <c r="C6" s="5" t="s">
        <v>176</v>
      </c>
      <c r="D6" s="5" t="s">
        <v>325</v>
      </c>
      <c r="E6" s="5" t="s">
        <v>309</v>
      </c>
      <c r="F6" s="5" t="n">
        <v>7.15</v>
      </c>
      <c r="G6" s="5" t="n">
        <v>7.15</v>
      </c>
      <c r="H6" s="5" t="str">
        <f aca="false">IF(E6="UC &gt; N1 &gt; N9 &gt; N10 &gt; N16 &gt; N17 &gt; N8 &gt; MP","No","Yes")</f>
        <v>No</v>
      </c>
    </row>
    <row r="7" customFormat="false" ht="15" hidden="false" customHeight="true" outlineLevel="0" collapsed="false">
      <c r="A7" s="5" t="n">
        <v>6</v>
      </c>
      <c r="B7" s="5" t="s">
        <v>364</v>
      </c>
      <c r="C7" s="5" t="s">
        <v>114</v>
      </c>
      <c r="D7" s="5" t="s">
        <v>325</v>
      </c>
      <c r="E7" s="5" t="s">
        <v>309</v>
      </c>
      <c r="F7" s="5" t="n">
        <v>7.15</v>
      </c>
      <c r="G7" s="5" t="n">
        <v>7.15</v>
      </c>
      <c r="H7" s="5" t="str">
        <f aca="false">IF(E7="UC &gt; N1 &gt; N9 &gt; N10 &gt; N16 &gt; N17 &gt; N8 &gt; MP","No","Yes")</f>
        <v>No</v>
      </c>
    </row>
    <row r="8" customFormat="false" ht="15" hidden="false" customHeight="true" outlineLevel="0" collapsed="false">
      <c r="A8" s="5" t="n">
        <v>7</v>
      </c>
      <c r="B8" s="5" t="s">
        <v>365</v>
      </c>
      <c r="C8" s="5" t="s">
        <v>142</v>
      </c>
      <c r="D8" s="5" t="s">
        <v>325</v>
      </c>
      <c r="E8" s="5" t="s">
        <v>309</v>
      </c>
      <c r="F8" s="5" t="n">
        <v>7.15</v>
      </c>
      <c r="G8" s="5" t="n">
        <v>7.15</v>
      </c>
      <c r="H8" s="5" t="str">
        <f aca="false">IF(E8="UC &gt; N1 &gt; N9 &gt; N10 &gt; N16 &gt; N17 &gt; N8 &gt; MP","No","Yes")</f>
        <v>No</v>
      </c>
    </row>
    <row r="9" customFormat="false" ht="15" hidden="false" customHeight="true" outlineLevel="0" collapsed="false">
      <c r="A9" s="5" t="n">
        <v>8</v>
      </c>
      <c r="B9" s="5" t="s">
        <v>366</v>
      </c>
      <c r="C9" s="5" t="s">
        <v>188</v>
      </c>
      <c r="D9" s="5" t="s">
        <v>325</v>
      </c>
      <c r="E9" s="5" t="s">
        <v>309</v>
      </c>
      <c r="F9" s="5" t="n">
        <v>7.15</v>
      </c>
      <c r="G9" s="5" t="n">
        <v>7.15</v>
      </c>
      <c r="H9" s="5" t="str">
        <f aca="false">IF(E9="UC &gt; N1 &gt; N9 &gt; N10 &gt; N16 &gt; N17 &gt; N8 &gt; MP","No","Yes")</f>
        <v>No</v>
      </c>
    </row>
    <row r="10" customFormat="false" ht="15" hidden="false" customHeight="true" outlineLevel="0" collapsed="false">
      <c r="A10" s="5" t="n">
        <v>9</v>
      </c>
      <c r="B10" s="5" t="s">
        <v>367</v>
      </c>
      <c r="C10" s="5" t="s">
        <v>140</v>
      </c>
      <c r="D10" s="5" t="s">
        <v>311</v>
      </c>
      <c r="E10" s="5" t="s">
        <v>368</v>
      </c>
      <c r="F10" s="5" t="n">
        <v>7.75</v>
      </c>
      <c r="G10" s="5" t="n">
        <v>7.15</v>
      </c>
      <c r="H10" s="5" t="str">
        <f aca="false">IF(E10="UC &gt; N1 &gt; N9 &gt; N10 &gt; N16 &gt; N17 &gt; N8 &gt; MP","No","Yes")</f>
        <v>Yes</v>
      </c>
    </row>
    <row r="11" customFormat="false" ht="15" hidden="false" customHeight="true" outlineLevel="0" collapsed="false">
      <c r="A11" s="5" t="n">
        <v>10</v>
      </c>
      <c r="B11" s="5" t="s">
        <v>361</v>
      </c>
      <c r="C11" s="5" t="s">
        <v>145</v>
      </c>
      <c r="D11" s="5" t="s">
        <v>311</v>
      </c>
      <c r="E11" s="5" t="s">
        <v>309</v>
      </c>
      <c r="F11" s="5" t="n">
        <v>7.15</v>
      </c>
      <c r="G11" s="5" t="n">
        <v>7.15</v>
      </c>
      <c r="H11" s="5" t="str">
        <f aca="false">IF(E11="UC &gt; N1 &gt; N9 &gt; N10 &gt; N16 &gt; N17 &gt; N8 &gt; MP","No","Yes")</f>
        <v>No</v>
      </c>
    </row>
    <row r="13" customFormat="false" ht="15" hidden="false" customHeight="true" outlineLevel="0" collapsed="false">
      <c r="A13" s="7" t="s">
        <v>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2026-10-29T02:01:47Z</dcterms:created>
  <dc:creator>openpyxl</dc:creator>
  <dc:description/>
  <dc:language>en-US</dc:language>
  <cp:lastModifiedBy/>
  <dcterms:modified xsi:type="dcterms:W3CDTF">2026-10-30T06:10:18Z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